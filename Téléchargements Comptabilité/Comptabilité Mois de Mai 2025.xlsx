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" sheetId="2" r:id="rId5"/>
    <sheet state="visible" name="Pointage" sheetId="3" r:id="rId6"/>
    <sheet state="visible" name="Les Salaires" sheetId="4" r:id="rId7"/>
    <sheet state="visible" name="Comparaison entre les Mois " sheetId="5" r:id="rId8"/>
  </sheets>
  <definedNames/>
  <calcPr/>
</workbook>
</file>

<file path=xl/sharedStrings.xml><?xml version="1.0" encoding="utf-8"?>
<sst xmlns="http://schemas.openxmlformats.org/spreadsheetml/2006/main" count="546" uniqueCount="385">
  <si>
    <t>Date</t>
  </si>
  <si>
    <t>Recette Avril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</si>
  <si>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</si>
  <si>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</si>
  <si>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</si>
  <si>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</si>
  <si>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</si>
  <si>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</si>
  <si>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</si>
  <si>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</si>
  <si>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d'Avril 2025</t>
  </si>
  <si>
    <t>Jeudi</t>
  </si>
  <si>
    <t>Vendredi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</si>
  <si>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</si>
  <si>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</si>
  <si>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</si>
  <si>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</si>
  <si>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Samedi</t>
  </si>
  <si>
    <t>Dimanche</t>
  </si>
  <si>
    <t>Lundi</t>
  </si>
  <si>
    <t xml:space="preserve">Moyenne des charges par jour </t>
  </si>
  <si>
    <t xml:space="preserve">Objectif </t>
  </si>
  <si>
    <t>Mardi</t>
  </si>
  <si>
    <t>Mercredi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</si>
  <si>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</si>
  <si>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</si>
  <si>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</si>
  <si>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</si>
  <si>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</si>
  <si>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</si>
  <si>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</si>
  <si>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>La caisse :</t>
  </si>
  <si>
    <t xml:space="preserve">Bénéfice Mars + loyer </t>
  </si>
  <si>
    <t>Sofiane: 30000Da</t>
  </si>
  <si>
    <t>Différence mois de Décembre</t>
  </si>
  <si>
    <t xml:space="preserve">Différence objectif </t>
  </si>
  <si>
    <t xml:space="preserve">Différence du Totale </t>
  </si>
  <si>
    <t xml:space="preserve">  </t>
  </si>
  <si>
    <t xml:space="preserve">Les vendredis </t>
  </si>
  <si>
    <t>rest à payer</t>
  </si>
  <si>
    <t>samedi</t>
  </si>
  <si>
    <t>Loyer Magasin</t>
  </si>
  <si>
    <t xml:space="preserve">Loyer Locale </t>
  </si>
  <si>
    <t xml:space="preserve">Sofiane Maison </t>
  </si>
  <si>
    <t>Papa</t>
  </si>
  <si>
    <t>Dette Papa</t>
  </si>
  <si>
    <t>-</t>
  </si>
  <si>
    <t>Produit</t>
  </si>
  <si>
    <t>Quantité</t>
  </si>
  <si>
    <t xml:space="preserve">Prix unitaire </t>
  </si>
  <si>
    <t>Prix</t>
  </si>
  <si>
    <t>Date d'achat</t>
  </si>
  <si>
    <t xml:space="preserve">Semoule Fine 10kg </t>
  </si>
  <si>
    <t>Semoule Fine 25kg</t>
  </si>
  <si>
    <t>Semoule Moyenne 25kg</t>
  </si>
  <si>
    <t xml:space="preserve">Transport et Manutention semoule </t>
  </si>
  <si>
    <t>semoule Moula moyenne 10kg</t>
  </si>
  <si>
    <t>Semoule Moula Gross 10 kg</t>
  </si>
  <si>
    <t>Faine Makam 10kg</t>
  </si>
  <si>
    <t>Levure boulangère</t>
  </si>
  <si>
    <t>huile 5 litre</t>
  </si>
  <si>
    <t>Chocolat wedjedane au lait</t>
  </si>
  <si>
    <t>Chocolat wedjedane noir</t>
  </si>
  <si>
    <t>chocolat wedjedane noisette</t>
  </si>
  <si>
    <t>Chocolat wedjedane Blanc</t>
  </si>
  <si>
    <t>Feuilletine</t>
  </si>
  <si>
    <t xml:space="preserve">Margarine Fleurial 500g </t>
  </si>
  <si>
    <t>Margarine Fleurial 250g</t>
  </si>
  <si>
    <t>Margarine Feuilletage 500g</t>
  </si>
  <si>
    <t xml:space="preserve">pistache </t>
  </si>
  <si>
    <t>lait en poudre</t>
  </si>
  <si>
    <t xml:space="preserve">Miel 5kg </t>
  </si>
  <si>
    <t>serviette en papier</t>
  </si>
  <si>
    <t>Esuie tout</t>
  </si>
  <si>
    <t>pLateaux oeufs</t>
  </si>
  <si>
    <t>Tomate fraiche</t>
  </si>
  <si>
    <t>poulet haché + blanc de poulet</t>
  </si>
  <si>
    <t>hamissa</t>
  </si>
  <si>
    <t>3akeri</t>
  </si>
  <si>
    <t xml:space="preserve">Margarine Goldmine </t>
  </si>
  <si>
    <t>Sucre cristalisé 25kg</t>
  </si>
  <si>
    <t xml:space="preserve">Amande marron </t>
  </si>
  <si>
    <t>Sanoudj</t>
  </si>
  <si>
    <t>Habet Halawa</t>
  </si>
  <si>
    <t xml:space="preserve">Khel </t>
  </si>
  <si>
    <t>Boissons</t>
  </si>
  <si>
    <t>Eau minérale 0,5 litre</t>
  </si>
  <si>
    <t>limonade Slim 33cl</t>
  </si>
  <si>
    <t>Canette Coca 24</t>
  </si>
  <si>
    <t>canette Hamoud</t>
  </si>
  <si>
    <t>eau mineral 1,5 litre</t>
  </si>
  <si>
    <t>Cannette Fanta 24cl</t>
  </si>
  <si>
    <t xml:space="preserve">Canettes Sprit </t>
  </si>
  <si>
    <t>Canette IZEM</t>
  </si>
  <si>
    <t xml:space="preserve">Jus Tchina </t>
  </si>
  <si>
    <t>Canette Fanta 24 cl</t>
  </si>
  <si>
    <t>Canette Schweppes</t>
  </si>
  <si>
    <t>Maiizina  25kg</t>
  </si>
  <si>
    <t>fromage spéciale pizza</t>
  </si>
  <si>
    <t xml:space="preserve">fromage slices </t>
  </si>
  <si>
    <t>Sucre cristalisé 1kg</t>
  </si>
  <si>
    <t xml:space="preserve">Cheddar   </t>
  </si>
  <si>
    <t>amande éffiléé</t>
  </si>
  <si>
    <t>Amande Moulu</t>
  </si>
  <si>
    <t xml:space="preserve">Amande blanc </t>
  </si>
  <si>
    <t>Farine SIM 1kg</t>
  </si>
  <si>
    <t>Sel</t>
  </si>
  <si>
    <t>Thon 1kg</t>
  </si>
  <si>
    <t>Pate d'arome Maa Zehar</t>
  </si>
  <si>
    <t>pate d'arome citron</t>
  </si>
  <si>
    <t>pate d'arome beuure vanille</t>
  </si>
  <si>
    <t xml:space="preserve">crème liquide </t>
  </si>
  <si>
    <t>gherss</t>
  </si>
  <si>
    <t>Maa zehar</t>
  </si>
  <si>
    <t>confiture 1kg</t>
  </si>
  <si>
    <t>Noix</t>
  </si>
  <si>
    <t>Sucre glace mordjan</t>
  </si>
  <si>
    <t>prunes</t>
  </si>
  <si>
    <t>Raisins sec</t>
  </si>
  <si>
    <t>fromage bidon</t>
  </si>
  <si>
    <t xml:space="preserve">détergents: isis bingo serpielle </t>
  </si>
  <si>
    <t>cuisses</t>
  </si>
  <si>
    <t>rechta</t>
  </si>
  <si>
    <t>épices</t>
  </si>
  <si>
    <t xml:space="preserve">poulet haché  </t>
  </si>
  <si>
    <t>crème liquide 4 fromages 380ml</t>
  </si>
  <si>
    <t xml:space="preserve">Gherss </t>
  </si>
  <si>
    <t>livraison idir</t>
  </si>
  <si>
    <t>navet</t>
  </si>
  <si>
    <t>courgette</t>
  </si>
  <si>
    <t>poivre blanc + cannelle en poudre + cannelle</t>
  </si>
  <si>
    <t>force express</t>
  </si>
  <si>
    <t>lavette</t>
  </si>
  <si>
    <t>deyoul</t>
  </si>
  <si>
    <t>isis</t>
  </si>
  <si>
    <t>olive noir</t>
  </si>
  <si>
    <t>viande hachée</t>
  </si>
  <si>
    <t>Deyoul</t>
  </si>
  <si>
    <t>eau de javel 5 litres</t>
  </si>
  <si>
    <t>cristeaux</t>
  </si>
  <si>
    <t>Bingo</t>
  </si>
  <si>
    <t>Poulet haché</t>
  </si>
  <si>
    <t>escalope</t>
  </si>
  <si>
    <t>Terida</t>
  </si>
  <si>
    <t>bessel</t>
  </si>
  <si>
    <t>olive vert dényauté</t>
  </si>
  <si>
    <t>épinards+  persil+ thym</t>
  </si>
  <si>
    <t>pain Tacos</t>
  </si>
  <si>
    <t>Harrissa 1kg</t>
  </si>
  <si>
    <t>Crème liquide 4 fromage 900ml</t>
  </si>
  <si>
    <t>Yasmine Heech Vendredi</t>
  </si>
  <si>
    <t>Terida idir</t>
  </si>
  <si>
    <t>La Vanille</t>
  </si>
  <si>
    <t>Pate Feuilletée</t>
  </si>
  <si>
    <t>tofia caramel 2kg</t>
  </si>
  <si>
    <t>les gants</t>
  </si>
  <si>
    <t>beurre</t>
  </si>
  <si>
    <t>Harrissa</t>
  </si>
  <si>
    <t>Taste cheddar</t>
  </si>
  <si>
    <t>FromageBidon 2kg Sandwich</t>
  </si>
  <si>
    <t>Crème fraiche 4 fromages 1 litre</t>
  </si>
  <si>
    <t>Semen Madina 1,8kg</t>
  </si>
  <si>
    <t>jus Tchina 33 cl</t>
  </si>
  <si>
    <t>Cawcaw</t>
  </si>
  <si>
    <t>Sofiane</t>
  </si>
  <si>
    <t xml:space="preserve">Motifs Fleurs + feuilles </t>
  </si>
  <si>
    <t>Tomate Conserve</t>
  </si>
  <si>
    <t>levure chimique</t>
  </si>
  <si>
    <t>Gherss</t>
  </si>
  <si>
    <t>Poivron</t>
  </si>
  <si>
    <t>olive dényauté</t>
  </si>
  <si>
    <t>viande morceau</t>
  </si>
  <si>
    <t>Poivre noir</t>
  </si>
  <si>
    <t>Harrissa idir</t>
  </si>
  <si>
    <t>levure chimique Brahim</t>
  </si>
  <si>
    <t>lave sol</t>
  </si>
  <si>
    <t>bingo</t>
  </si>
  <si>
    <t>couscous</t>
  </si>
  <si>
    <t>salade</t>
  </si>
  <si>
    <t>persil</t>
  </si>
  <si>
    <t>Navet</t>
  </si>
  <si>
    <t>carotte</t>
  </si>
  <si>
    <t>pomme de terre</t>
  </si>
  <si>
    <t>poulet haché</t>
  </si>
  <si>
    <t>9etayef</t>
  </si>
  <si>
    <t>Heech yasmine</t>
  </si>
  <si>
    <t xml:space="preserve">poivre + ooivron + tomate </t>
  </si>
  <si>
    <t xml:space="preserve">Dettes Légumes </t>
  </si>
  <si>
    <t xml:space="preserve">poulet haché +blanc de poulet </t>
  </si>
  <si>
    <t>tomate Fraiche</t>
  </si>
  <si>
    <t>persil+ thym</t>
  </si>
  <si>
    <t>poivron + poivre +tomate</t>
  </si>
  <si>
    <t>les dettes de légumes</t>
  </si>
  <si>
    <t>pril isis</t>
  </si>
  <si>
    <t>Lave main</t>
  </si>
  <si>
    <t>Isis</t>
  </si>
  <si>
    <t>Storm Magasin</t>
  </si>
  <si>
    <t>pain tacos</t>
  </si>
  <si>
    <t>Dattes + livraison</t>
  </si>
  <si>
    <t>10000+10000+</t>
  </si>
  <si>
    <t>cawcaw</t>
  </si>
  <si>
    <t>plateaux oeufs</t>
  </si>
  <si>
    <t>salde</t>
  </si>
  <si>
    <t>15 et 16/05/2025</t>
  </si>
  <si>
    <t>Tofia Caramel 500g</t>
  </si>
  <si>
    <t>javel moussant + isis</t>
  </si>
  <si>
    <t xml:space="preserve">isis </t>
  </si>
  <si>
    <t xml:space="preserve">Boite </t>
  </si>
  <si>
    <t xml:space="preserve">légumes </t>
  </si>
  <si>
    <t>Margarine</t>
  </si>
  <si>
    <t>Chakhechoukhate defer</t>
  </si>
  <si>
    <t xml:space="preserve">Thon </t>
  </si>
  <si>
    <t>17/05/2025</t>
  </si>
  <si>
    <t>sac poubelle</t>
  </si>
  <si>
    <t>coriandre+ menth</t>
  </si>
  <si>
    <t>citron</t>
  </si>
  <si>
    <t>poulethaché</t>
  </si>
  <si>
    <t>blanc de poulet</t>
  </si>
  <si>
    <t>réparation achoir</t>
  </si>
  <si>
    <t xml:space="preserve">olive noir </t>
  </si>
  <si>
    <t>olive dényauté + éffilet</t>
  </si>
  <si>
    <t>bicarbonate</t>
  </si>
  <si>
    <t>porte chaussur</t>
  </si>
  <si>
    <t>porte mangé</t>
  </si>
  <si>
    <t>reshta</t>
  </si>
  <si>
    <t>blanc depoulet</t>
  </si>
  <si>
    <t>serpillère</t>
  </si>
  <si>
    <t>Bessel Dely Brahim</t>
  </si>
  <si>
    <t>Bessel</t>
  </si>
  <si>
    <t>Livraison Nakkach</t>
  </si>
  <si>
    <t>Rechta</t>
  </si>
  <si>
    <t>Huile 5 litres</t>
  </si>
  <si>
    <t>Couscous SIM</t>
  </si>
  <si>
    <t>Poichiche</t>
  </si>
  <si>
    <t>assièttes</t>
  </si>
  <si>
    <t xml:space="preserve">3assila </t>
  </si>
  <si>
    <t>amande éffilet</t>
  </si>
  <si>
    <t>frik</t>
  </si>
  <si>
    <t>épice chorba et chetiteha</t>
  </si>
  <si>
    <t>za3eferan</t>
  </si>
  <si>
    <t>pruneau</t>
  </si>
  <si>
    <t>Patavia</t>
  </si>
  <si>
    <t>abricot seche</t>
  </si>
  <si>
    <t xml:space="preserve">Cuisses de poulet </t>
  </si>
  <si>
    <t>Blanc de poulet</t>
  </si>
  <si>
    <t>ail</t>
  </si>
  <si>
    <t>felfel guenawa</t>
  </si>
  <si>
    <t xml:space="preserve">Courgette </t>
  </si>
  <si>
    <t>Bétrave</t>
  </si>
  <si>
    <t>Carrotes</t>
  </si>
  <si>
    <t>conconbre</t>
  </si>
  <si>
    <t>poivre</t>
  </si>
  <si>
    <t>Fromage blanc</t>
  </si>
  <si>
    <t>persil + rend</t>
  </si>
  <si>
    <t>mélange d'olive</t>
  </si>
  <si>
    <t>Boites / portes manger</t>
  </si>
  <si>
    <t>viande d'agneau morceaux</t>
  </si>
  <si>
    <t>viande Hachée</t>
  </si>
  <si>
    <t>DelyBrahim</t>
  </si>
  <si>
    <t>Citron</t>
  </si>
  <si>
    <t>Javel 5 litres</t>
  </si>
  <si>
    <t>Harrissa dely brahim</t>
  </si>
  <si>
    <t>LIvraison Baklawa</t>
  </si>
  <si>
    <t>Bassel</t>
  </si>
  <si>
    <t>Hamissa</t>
  </si>
  <si>
    <t>vinigrette</t>
  </si>
  <si>
    <t>Javel Bref</t>
  </si>
  <si>
    <t xml:space="preserve">9ali Brahim beli edahom islem mais je suis sur que ma dach </t>
  </si>
  <si>
    <t>Akila et Rayan Yassir</t>
  </si>
  <si>
    <t>Salade</t>
  </si>
  <si>
    <t>Viande Hachée</t>
  </si>
  <si>
    <t>Miel Mordjan</t>
  </si>
  <si>
    <t>Cheddar Mini Market</t>
  </si>
  <si>
    <t>Amande blanc</t>
  </si>
  <si>
    <t>Maiis</t>
  </si>
  <si>
    <t>Lait en Poudre</t>
  </si>
  <si>
    <t>Gherss Safari 1kg</t>
  </si>
  <si>
    <t>Boites de Temina</t>
  </si>
  <si>
    <t>storm magasin + modem local+magasin</t>
  </si>
  <si>
    <t xml:space="preserve">poulet haché   </t>
  </si>
  <si>
    <t xml:space="preserve">rechta </t>
  </si>
  <si>
    <t xml:space="preserve">Poulet haché + blanc de pouelt </t>
  </si>
  <si>
    <t>Slimane dely Brahim</t>
  </si>
  <si>
    <t>Courgette + navet</t>
  </si>
  <si>
    <t>cuisses et blanc de poulet</t>
  </si>
  <si>
    <t>cheddar</t>
  </si>
  <si>
    <t>Amina Heech</t>
  </si>
  <si>
    <t xml:space="preserve">Baklawa </t>
  </si>
  <si>
    <t xml:space="preserve">manchons </t>
  </si>
  <si>
    <t>Sac Poubelle</t>
  </si>
  <si>
    <t>Sac poubelle vert</t>
  </si>
  <si>
    <t>boites 500ccl</t>
  </si>
  <si>
    <t>Souad Nakkach</t>
  </si>
  <si>
    <t>Boites Demie plateau</t>
  </si>
  <si>
    <t>Dentelle simple Oronza 4,5</t>
  </si>
  <si>
    <t xml:space="preserve">Sachets transparents </t>
  </si>
  <si>
    <t>Sachets blanc 5kg</t>
  </si>
  <si>
    <t>boites temina</t>
  </si>
  <si>
    <t>cuillères petis</t>
  </si>
  <si>
    <t>sac crafet</t>
  </si>
  <si>
    <t>sachets pain tranparents</t>
  </si>
  <si>
    <t>Sac croissant N23</t>
  </si>
  <si>
    <t>Sac croissant 18</t>
  </si>
  <si>
    <t>Quissettes dorés</t>
  </si>
  <si>
    <t>quissetes blanc num 10</t>
  </si>
  <si>
    <t>quissetes blanc num 12</t>
  </si>
  <si>
    <t>boite Raib</t>
  </si>
  <si>
    <t>Barquettes 1185</t>
  </si>
  <si>
    <t>Barquettes 1065</t>
  </si>
  <si>
    <t>Boites 500ccl</t>
  </si>
  <si>
    <t>papier aluminium</t>
  </si>
  <si>
    <t>Boite 48/10</t>
  </si>
  <si>
    <t>Boite 48/07</t>
  </si>
  <si>
    <t>Boite 36</t>
  </si>
  <si>
    <t>Boite 24</t>
  </si>
  <si>
    <t>Boite 18</t>
  </si>
  <si>
    <t>Boite 12</t>
  </si>
  <si>
    <t>Boite 08</t>
  </si>
  <si>
    <t>Barquettes alimentaire+ liraison</t>
  </si>
  <si>
    <t>Amina Baghrir</t>
  </si>
  <si>
    <t>Mois d'Avril</t>
  </si>
  <si>
    <t>Nakkach</t>
  </si>
  <si>
    <t>Manel Chocolat + Dattes Fourées</t>
  </si>
  <si>
    <t>Achoir</t>
  </si>
  <si>
    <t>Bateur</t>
  </si>
  <si>
    <t>Saida</t>
  </si>
  <si>
    <t xml:space="preserve">Fatiha </t>
  </si>
  <si>
    <t xml:space="preserve">Assia </t>
  </si>
  <si>
    <t>Samira</t>
  </si>
  <si>
    <t>Nour ElHouda</t>
  </si>
  <si>
    <t xml:space="preserve">Yasmine </t>
  </si>
  <si>
    <t xml:space="preserve">Zohra </t>
  </si>
  <si>
    <t>Rayan</t>
  </si>
  <si>
    <t xml:space="preserve">Amina Ain Beniane </t>
  </si>
  <si>
    <t>Ahlem</t>
  </si>
  <si>
    <t xml:space="preserve">Merieioma </t>
  </si>
  <si>
    <t>Camilia</t>
  </si>
  <si>
    <t>Akila</t>
  </si>
  <si>
    <t>Backup</t>
  </si>
  <si>
    <t>Fatiha est sortie à 19h10, Assia et Akila à 18h</t>
  </si>
  <si>
    <t>Zohra a travaillé dans le magasin et locale de 08h à 18h</t>
  </si>
  <si>
    <t>Samira est sortie après un conflit avec la vendeuse à 14h30</t>
  </si>
  <si>
    <t>Ysmine est arrivé à 12h30 , Saida est arrivé à 07h et a commencé le travaille à 08h</t>
  </si>
  <si>
    <t xml:space="preserve">Assia djate à 11h30 autorisée elle est allé à l'hopitale </t>
  </si>
  <si>
    <t xml:space="preserve">Yasmine darete retard de 20 min , akila est arrivée à 09h et Rayane à 11h mais kanet autorisée </t>
  </si>
  <si>
    <t>Meriem est arrivée à 10h</t>
  </si>
  <si>
    <t>Yasmine est venu 10 min en retard sans me prévenir à l'avance /wafa</t>
  </si>
  <si>
    <t xml:space="preserve">Rayan et Akila ont fait le ménage </t>
  </si>
  <si>
    <t>Yasmine est arrivé 10min en retard sans me prévenir</t>
  </si>
  <si>
    <t>Rayan djate à 10h30</t>
  </si>
  <si>
    <t xml:space="preserve">Saida s'est absentée sans me prévenir malgré j'ai insisté avec elle </t>
  </si>
  <si>
    <t xml:space="preserve">Yasmine djate en retard 10min et elle a menti 9ateli rani 9oudam dar Kamalate we hier kanet be3ida </t>
  </si>
  <si>
    <t xml:space="preserve">Akila et Rayan djaw à 07h et Amina djate fel OFF deyaleha et Samira était malade et il y'avait pas de transport we djate </t>
  </si>
  <si>
    <t>Houda djate a 08h45 e kharedjet à 18h30</t>
  </si>
  <si>
    <t>Yasmine djate en retard puisque Houda n'a pas pu la remplacer Meriem a assuer le poste de vendeuse de 09h jusqua 11h30</t>
  </si>
  <si>
    <t>Totale</t>
  </si>
  <si>
    <t xml:space="preserve">Nom </t>
  </si>
  <si>
    <t>Avance</t>
  </si>
  <si>
    <t xml:space="preserve">Salaire à payer </t>
  </si>
  <si>
    <t xml:space="preserve">Sofiane </t>
  </si>
  <si>
    <t>Amel</t>
  </si>
  <si>
    <t>3000+2000</t>
  </si>
  <si>
    <t>Fatiha</t>
  </si>
  <si>
    <t>1000+5000+4000+5000+3000+3000+2000</t>
  </si>
  <si>
    <t>Assia</t>
  </si>
  <si>
    <t>3000+2000+1000+1000+4000</t>
  </si>
  <si>
    <t>4000+5000+3000+1000+18500</t>
  </si>
  <si>
    <t>Yasmine</t>
  </si>
  <si>
    <t>10k rapelle</t>
  </si>
  <si>
    <t>Amina Ain Beniane</t>
  </si>
  <si>
    <t>3000+9000+</t>
  </si>
  <si>
    <t>Merioma</t>
  </si>
  <si>
    <t>3000+2000+10500</t>
  </si>
  <si>
    <t>Kamilia</t>
  </si>
  <si>
    <t>wafa+3000Da Alia</t>
  </si>
  <si>
    <t>TOTAL</t>
  </si>
  <si>
    <t>Mois de Janvier 2025</t>
  </si>
  <si>
    <t>Mois de Février  2025</t>
  </si>
  <si>
    <t>Mois de Mars  2025</t>
  </si>
  <si>
    <t>Mois d'Avril  2025</t>
  </si>
  <si>
    <t>Mois de Mai  2025</t>
  </si>
  <si>
    <t>Salaires</t>
  </si>
  <si>
    <t xml:space="preserve">Che7i7a </t>
  </si>
  <si>
    <t>Loyer+Dettes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</si>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</sst>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[$€-1]"/>
    <numFmt numFmtId="165" formatCode="dd/mm/yyyy"/>
    <numFmt numFmtId="166" formatCode="#,##0.00\ [$€-1]"/>
    <numFmt numFmtId="167" formatCode="d/m/yyyy"/>
    <numFmt numFmtId="168" formatCode="&quot;$&quot;#,##0.00"/>
  </numFmts>
  <fonts count="2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17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20.0"/>
      <color theme="1"/>
      <name val="Arial"/>
    </font>
    <font>
      <sz val="20.0"/>
      <color theme="1"/>
      <name val="Arial"/>
    </font>
    <font>
      <sz val="18.0"/>
      <color rgb="FF434343"/>
      <name val="Roboto"/>
    </font>
    <font>
      <sz val="16.0"/>
      <color theme="1"/>
      <name val="Arial"/>
    </font>
    <font/>
    <font>
      <b/>
      <sz val="24.0"/>
      <color theme="1"/>
      <name val="Arial"/>
    </font>
    <font>
      <color theme="1"/>
      <name val="Arial"/>
      <scheme val="minor"/>
    </font>
    <font>
      <sz val="18.0"/>
      <color rgb="FF434343"/>
      <name val="Arial"/>
    </font>
    <font>
      <sz val="17.0"/>
      <color rgb="FF434343"/>
      <name val="Arial"/>
    </font>
    <font>
      <sz val="19.0"/>
      <color rgb="FF434343"/>
      <name val="Arial"/>
    </font>
    <font>
      <sz val="22.0"/>
      <color theme="1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b/>
      <sz val="17.0"/>
      <color theme="1"/>
      <name val="Arial"/>
    </font>
    <font>
      <sz val="2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1" numFmtId="164" xfId="0" applyAlignment="1" applyBorder="1" applyFont="1" applyNumberFormat="1">
      <alignment vertical="bottom"/>
    </xf>
    <xf borderId="1" fillId="5" fontId="3" numFmtId="0" xfId="0" applyAlignment="1" applyBorder="1" applyFont="1">
      <alignment horizontal="center" readingOrder="0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3" fillId="6" fontId="3" numFmtId="0" xfId="0" applyAlignment="1" applyBorder="1" applyFill="1" applyFont="1">
      <alignment horizontal="center" vertical="bottom"/>
    </xf>
    <xf borderId="1" fillId="6" fontId="3" numFmtId="165" xfId="0" applyAlignment="1" applyBorder="1" applyFont="1" applyNumberFormat="1">
      <alignment horizontal="center" readingOrder="0" vertical="bottom"/>
    </xf>
    <xf borderId="1" fillId="6" fontId="3" numFmtId="166" xfId="0" applyAlignment="1" applyBorder="1" applyFont="1" applyNumberFormat="1">
      <alignment horizontal="center" vertical="bottom"/>
    </xf>
    <xf borderId="1" fillId="6" fontId="3" numFmtId="166" xfId="0" applyAlignment="1" applyBorder="1" applyFont="1" applyNumberFormat="1">
      <alignment horizontal="center" readingOrder="0" vertical="bottom"/>
    </xf>
    <xf borderId="1" fillId="6" fontId="1" numFmtId="0" xfId="0" applyAlignment="1" applyBorder="1" applyFont="1">
      <alignment vertical="bottom"/>
    </xf>
    <xf borderId="1" fillId="6" fontId="1" numFmtId="164" xfId="0" applyAlignment="1" applyBorder="1" applyFont="1" applyNumberFormat="1">
      <alignment vertical="bottom"/>
    </xf>
    <xf borderId="1" fillId="6" fontId="3" numFmtId="0" xfId="0" applyAlignment="1" applyBorder="1" applyFont="1">
      <alignment horizontal="center" readingOrder="0" vertical="bottom"/>
    </xf>
    <xf borderId="4" fillId="7" fontId="3" numFmtId="0" xfId="0" applyAlignment="1" applyBorder="1" applyFill="1" applyFont="1">
      <alignment horizontal="center" vertical="bottom"/>
    </xf>
    <xf borderId="0" fillId="8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0" fillId="0" fontId="1" numFmtId="10" xfId="0" applyAlignment="1" applyFont="1" applyNumberFormat="1">
      <alignment vertical="bottom"/>
    </xf>
    <xf borderId="1" fillId="8" fontId="3" numFmtId="0" xfId="0" applyAlignment="1" applyBorder="1" applyFont="1">
      <alignment horizontal="center" vertical="bottom"/>
    </xf>
    <xf borderId="1" fillId="8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0" fillId="5" fontId="3" numFmtId="0" xfId="0" applyAlignment="1" applyFon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0" fillId="5" fontId="1" numFmtId="0" xfId="0" applyAlignment="1" applyFont="1">
      <alignment horizontal="right" vertical="bottom"/>
    </xf>
    <xf borderId="0" fillId="0" fontId="3" numFmtId="166" xfId="0" applyAlignment="1" applyFont="1" applyNumberFormat="1">
      <alignment horizontal="center" vertical="bottom"/>
    </xf>
    <xf borderId="0" fillId="5" fontId="3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4" fillId="0" fontId="1" numFmtId="166" xfId="0" applyAlignment="1" applyBorder="1" applyFont="1" applyNumberFormat="1">
      <alignment vertical="bottom"/>
    </xf>
    <xf borderId="0" fillId="5" fontId="1" numFmtId="166" xfId="0" applyAlignment="1" applyFont="1" applyNumberFormat="1">
      <alignment vertical="bottom"/>
    </xf>
    <xf borderId="0" fillId="0" fontId="5" numFmtId="166" xfId="0" applyAlignment="1" applyFont="1" applyNumberFormat="1">
      <alignment readingOrder="0" vertical="bottom"/>
    </xf>
    <xf borderId="0" fillId="0" fontId="1" numFmtId="167" xfId="0" applyAlignment="1" applyFont="1" applyNumberFormat="1">
      <alignment vertical="bottom"/>
    </xf>
    <xf borderId="4" fillId="7" fontId="6" numFmtId="166" xfId="0" applyAlignment="1" applyBorder="1" applyFont="1" applyNumberFormat="1">
      <alignment horizontal="center" vertical="bottom"/>
    </xf>
    <xf borderId="1" fillId="9" fontId="7" numFmtId="0" xfId="0" applyAlignment="1" applyBorder="1" applyFill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5" fillId="5" fontId="3" numFmtId="166" xfId="0" applyAlignment="1" applyBorder="1" applyFont="1" applyNumberFormat="1">
      <alignment horizontal="center" vertical="bottom"/>
    </xf>
    <xf borderId="1" fillId="4" fontId="3" numFmtId="0" xfId="0" applyAlignment="1" applyBorder="1" applyFont="1">
      <alignment horizontal="center" vertical="bottom"/>
    </xf>
    <xf borderId="1" fillId="6" fontId="1" numFmtId="0" xfId="0" applyAlignment="1" applyBorder="1" applyFont="1">
      <alignment readingOrder="0" vertical="bottom"/>
    </xf>
    <xf borderId="5" fillId="5" fontId="1" numFmtId="0" xfId="0" applyAlignment="1" applyBorder="1" applyFont="1">
      <alignment vertical="bottom"/>
    </xf>
    <xf borderId="5" fillId="5" fontId="1" numFmtId="166" xfId="0" applyAlignment="1" applyBorder="1" applyFont="1" applyNumberFormat="1">
      <alignment vertical="bottom"/>
    </xf>
    <xf borderId="1" fillId="9" fontId="3" numFmtId="0" xfId="0" applyAlignment="1" applyBorder="1" applyFont="1">
      <alignment horizontal="center" vertical="bottom"/>
    </xf>
    <xf borderId="3" fillId="6" fontId="3" numFmtId="0" xfId="0" applyAlignment="1" applyBorder="1" applyFont="1">
      <alignment horizontal="center" readingOrder="0" vertical="bottom"/>
    </xf>
    <xf borderId="3" fillId="5" fontId="3" numFmtId="0" xfId="0" applyAlignment="1" applyBorder="1" applyFont="1">
      <alignment horizontal="center" readingOrder="0" vertical="bottom"/>
    </xf>
    <xf borderId="1" fillId="5" fontId="5" numFmtId="166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vertical="bottom"/>
    </xf>
    <xf borderId="0" fillId="5" fontId="1" numFmtId="164" xfId="0" applyAlignment="1" applyFont="1" applyNumberFormat="1">
      <alignment vertical="bottom"/>
    </xf>
    <xf borderId="5" fillId="5" fontId="3" numFmtId="168" xfId="0" applyAlignment="1" applyBorder="1" applyFont="1" applyNumberFormat="1">
      <alignment horizontal="center" vertical="bottom"/>
    </xf>
    <xf borderId="0" fillId="5" fontId="4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1" fillId="6" fontId="8" numFmtId="0" xfId="0" applyAlignment="1" applyBorder="1" applyFont="1">
      <alignment horizontal="center" vertical="bottom"/>
    </xf>
    <xf borderId="2" fillId="6" fontId="8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2" fillId="5" fontId="3" numFmtId="166" xfId="0" applyAlignment="1" applyBorder="1" applyFont="1" applyNumberFormat="1">
      <alignment horizontal="center" vertical="bottom"/>
    </xf>
    <xf borderId="1" fillId="5" fontId="9" numFmtId="165" xfId="0" applyAlignment="1" applyBorder="1" applyFont="1" applyNumberFormat="1">
      <alignment horizontal="center" vertical="bottom"/>
    </xf>
    <xf borderId="0" fillId="7" fontId="1" numFmtId="0" xfId="0" applyAlignment="1" applyFont="1">
      <alignment vertical="bottom"/>
    </xf>
    <xf borderId="1" fillId="7" fontId="3" numFmtId="0" xfId="0" applyAlignment="1" applyBorder="1" applyFont="1">
      <alignment horizontal="center" readingOrder="0" vertical="bottom"/>
    </xf>
    <xf borderId="1" fillId="7" fontId="3" numFmtId="166" xfId="0" applyAlignment="1" applyBorder="1" applyFont="1" applyNumberFormat="1">
      <alignment horizontal="center" readingOrder="0" vertical="bottom"/>
    </xf>
    <xf borderId="2" fillId="7" fontId="3" numFmtId="166" xfId="0" applyAlignment="1" applyBorder="1" applyFont="1" applyNumberFormat="1">
      <alignment horizontal="center" vertical="bottom"/>
    </xf>
    <xf borderId="1" fillId="7" fontId="9" numFmtId="165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2" fillId="5" fontId="5" numFmtId="166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shrinkToFit="0" vertical="bottom" wrapText="0"/>
    </xf>
    <xf borderId="1" fillId="5" fontId="10" numFmtId="0" xfId="0" applyAlignment="1" applyBorder="1" applyFont="1">
      <alignment horizontal="center" readingOrder="0" shrinkToFit="0" vertical="bottom" wrapText="0"/>
    </xf>
    <xf borderId="1" fillId="5" fontId="10" numFmtId="166" xfId="0" applyAlignment="1" applyBorder="1" applyFont="1" applyNumberFormat="1">
      <alignment horizontal="center" readingOrder="0" shrinkToFit="0" vertical="bottom" wrapText="0"/>
    </xf>
    <xf borderId="1" fillId="5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166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5" fontId="4" numFmtId="166" xfId="0" applyAlignment="1" applyBorder="1" applyFont="1" applyNumberFormat="1">
      <alignment horizontal="center" vertical="bottom"/>
    </xf>
    <xf borderId="1" fillId="5" fontId="11" numFmtId="0" xfId="0" applyAlignment="1" applyBorder="1" applyFont="1">
      <alignment horizontal="center" vertical="bottom"/>
    </xf>
    <xf borderId="1" fillId="5" fontId="11" numFmtId="0" xfId="0" applyAlignment="1" applyBorder="1" applyFont="1">
      <alignment horizontal="center" readingOrder="0" vertical="bottom"/>
    </xf>
    <xf borderId="1" fillId="5" fontId="11" numFmtId="166" xfId="0" applyAlignment="1" applyBorder="1" applyFont="1" applyNumberFormat="1">
      <alignment horizontal="center" vertical="bottom"/>
    </xf>
    <xf borderId="2" fillId="5" fontId="11" numFmtId="166" xfId="0" applyAlignment="1" applyBorder="1" applyFont="1" applyNumberFormat="1">
      <alignment horizontal="center" vertical="bottom"/>
    </xf>
    <xf borderId="1" fillId="5" fontId="11" numFmtId="166" xfId="0" applyAlignment="1" applyBorder="1" applyFont="1" applyNumberFormat="1">
      <alignment horizontal="center" readingOrder="0" vertical="bottom"/>
    </xf>
    <xf borderId="1" fillId="5" fontId="9" numFmtId="165" xfId="0" applyAlignment="1" applyBorder="1" applyFont="1" applyNumberFormat="1">
      <alignment horizontal="center" readingOrder="0" vertical="bottom"/>
    </xf>
    <xf borderId="6" fillId="5" fontId="9" numFmtId="165" xfId="0" applyAlignment="1" applyBorder="1" applyFont="1" applyNumberFormat="1">
      <alignment horizontal="center" readingOrder="0" vertical="bottom"/>
    </xf>
    <xf borderId="6" fillId="0" fontId="12" numFmtId="0" xfId="0" applyBorder="1" applyFont="1"/>
    <xf borderId="1" fillId="0" fontId="12" numFmtId="0" xfId="0" applyBorder="1" applyFont="1"/>
    <xf borderId="2" fillId="5" fontId="5" numFmtId="166" xfId="0" applyAlignment="1" applyBorder="1" applyFont="1" applyNumberFormat="1">
      <alignment horizontal="center" readingOrder="0" vertical="bottom"/>
    </xf>
    <xf borderId="6" fillId="5" fontId="9" numFmtId="0" xfId="0" applyAlignment="1" applyBorder="1" applyFont="1">
      <alignment horizontal="center" vertical="bottom"/>
    </xf>
    <xf borderId="1" fillId="10" fontId="3" numFmtId="0" xfId="0" applyAlignment="1" applyBorder="1" applyFill="1" applyFont="1">
      <alignment horizontal="center" vertical="bottom"/>
    </xf>
    <xf borderId="1" fillId="10" fontId="3" numFmtId="166" xfId="0" applyAlignment="1" applyBorder="1" applyFont="1" applyNumberFormat="1">
      <alignment horizontal="center" vertical="bottom"/>
    </xf>
    <xf borderId="2" fillId="10" fontId="5" numFmtId="166" xfId="0" applyAlignment="1" applyBorder="1" applyFont="1" applyNumberFormat="1">
      <alignment horizontal="center" vertical="bottom"/>
    </xf>
    <xf borderId="1" fillId="10" fontId="9" numFmtId="165" xfId="0" applyAlignment="1" applyBorder="1" applyFont="1" applyNumberFormat="1">
      <alignment horizontal="center" vertical="bottom"/>
    </xf>
    <xf borderId="1" fillId="5" fontId="9" numFmtId="0" xfId="0" applyAlignment="1" applyBorder="1" applyFont="1">
      <alignment horizontal="center" vertical="bottom"/>
    </xf>
    <xf borderId="6" fillId="5" fontId="9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5" fontId="4" numFmtId="166" xfId="0" applyAlignment="1" applyBorder="1" applyFont="1" applyNumberFormat="1">
      <alignment horizontal="center" readingOrder="0" vertical="bottom"/>
    </xf>
    <xf borderId="2" fillId="5" fontId="4" numFmtId="166" xfId="0" applyAlignment="1" applyBorder="1" applyFont="1" applyNumberFormat="1">
      <alignment horizontal="center" vertical="bottom"/>
    </xf>
    <xf borderId="1" fillId="7" fontId="4" numFmtId="0" xfId="0" applyAlignment="1" applyBorder="1" applyFont="1">
      <alignment horizontal="center" readingOrder="0" vertical="bottom"/>
    </xf>
    <xf borderId="1" fillId="7" fontId="4" numFmtId="166" xfId="0" applyAlignment="1" applyBorder="1" applyFont="1" applyNumberFormat="1">
      <alignment horizontal="center" readingOrder="0" vertical="bottom"/>
    </xf>
    <xf borderId="2" fillId="7" fontId="4" numFmtId="166" xfId="0" applyAlignment="1" applyBorder="1" applyFont="1" applyNumberFormat="1">
      <alignment horizontal="center" vertical="bottom"/>
    </xf>
    <xf borderId="1" fillId="7" fontId="9" numFmtId="165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1" fillId="5" fontId="9" numFmtId="0" xfId="0" applyAlignment="1" applyBorder="1" applyFont="1">
      <alignment horizontal="center" readingOrder="0" vertical="bottom"/>
    </xf>
    <xf borderId="2" fillId="5" fontId="3" numFmtId="166" xfId="0" applyAlignment="1" applyBorder="1" applyFont="1" applyNumberFormat="1">
      <alignment horizontal="center" readingOrder="0" vertical="bottom"/>
    </xf>
    <xf borderId="1" fillId="7" fontId="3" numFmtId="166" xfId="0" applyAlignment="1" applyBorder="1" applyFont="1" applyNumberFormat="1">
      <alignment horizontal="center" vertical="bottom"/>
    </xf>
    <xf borderId="2" fillId="7" fontId="5" numFmtId="166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horizontal="center" readingOrder="0" vertical="bottom"/>
    </xf>
    <xf borderId="1" fillId="2" fontId="5" numFmtId="166" xfId="0" applyAlignment="1" applyBorder="1" applyFont="1" applyNumberFormat="1">
      <alignment horizontal="center" readingOrder="0" vertical="bottom"/>
    </xf>
    <xf borderId="2" fillId="2" fontId="5" numFmtId="166" xfId="0" applyAlignment="1" applyBorder="1" applyFont="1" applyNumberFormat="1">
      <alignment horizontal="center" vertical="bottom"/>
    </xf>
    <xf borderId="1" fillId="2" fontId="9" numFmtId="165" xfId="0" applyAlignment="1" applyBorder="1" applyFont="1" applyNumberFormat="1">
      <alignment horizontal="center" vertical="bottom"/>
    </xf>
    <xf borderId="5" fillId="5" fontId="13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3" numFmtId="166" xfId="0" applyAlignment="1" applyBorder="1" applyFont="1" applyNumberFormat="1">
      <alignment horizontal="center" vertical="bottom"/>
    </xf>
    <xf borderId="2" fillId="0" fontId="9" numFmtId="165" xfId="0" applyAlignment="1" applyBorder="1" applyFont="1" applyNumberFormat="1">
      <alignment horizontal="center" vertical="bottom"/>
    </xf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5" fillId="2" fontId="5" numFmtId="0" xfId="0" applyAlignment="1" applyBorder="1" applyFont="1">
      <alignment vertical="bottom"/>
    </xf>
    <xf borderId="5" fillId="5" fontId="3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horizontal="center" vertical="bottom"/>
    </xf>
    <xf borderId="5" fillId="6" fontId="3" numFmtId="0" xfId="0" applyAlignment="1" applyBorder="1" applyFont="1">
      <alignment horizontal="center" readingOrder="0" vertical="bottom"/>
    </xf>
    <xf borderId="5" fillId="6" fontId="5" numFmtId="0" xfId="0" applyAlignment="1" applyBorder="1" applyFont="1">
      <alignment horizontal="center" readingOrder="0" vertical="bottom"/>
    </xf>
    <xf borderId="5" fillId="6" fontId="3" numFmtId="0" xfId="0" applyAlignment="1" applyBorder="1" applyFont="1">
      <alignment vertical="bottom"/>
    </xf>
    <xf borderId="0" fillId="6" fontId="14" numFmtId="0" xfId="0" applyFont="1"/>
    <xf borderId="5" fillId="5" fontId="3" numFmtId="0" xfId="0" applyAlignment="1" applyBorder="1" applyFont="1">
      <alignment vertical="bottom"/>
    </xf>
    <xf borderId="5" fillId="11" fontId="3" numFmtId="0" xfId="0" applyAlignment="1" applyBorder="1" applyFill="1" applyFont="1">
      <alignment horizontal="center" readingOrder="0" vertical="bottom"/>
    </xf>
    <xf borderId="5" fillId="11" fontId="5" numFmtId="0" xfId="0" applyAlignment="1" applyBorder="1" applyFont="1">
      <alignment horizontal="center" readingOrder="0" vertical="bottom"/>
    </xf>
    <xf borderId="5" fillId="11" fontId="3" numFmtId="0" xfId="0" applyAlignment="1" applyBorder="1" applyFont="1">
      <alignment vertical="bottom"/>
    </xf>
    <xf borderId="5" fillId="12" fontId="3" numFmtId="0" xfId="0" applyAlignment="1" applyBorder="1" applyFill="1" applyFont="1">
      <alignment horizontal="center" readingOrder="0" vertical="bottom"/>
    </xf>
    <xf borderId="5" fillId="12" fontId="5" numFmtId="0" xfId="0" applyAlignment="1" applyBorder="1" applyFont="1">
      <alignment horizontal="center" readingOrder="0" vertical="bottom"/>
    </xf>
    <xf borderId="5" fillId="12" fontId="3" numFmtId="0" xfId="0" applyAlignment="1" applyBorder="1" applyFont="1">
      <alignment vertical="bottom"/>
    </xf>
    <xf borderId="5" fillId="12" fontId="3" numFmtId="0" xfId="0" applyAlignment="1" applyBorder="1" applyFont="1">
      <alignment readingOrder="0" vertical="bottom"/>
    </xf>
    <xf borderId="5" fillId="6" fontId="3" numFmtId="0" xfId="0" applyAlignment="1" applyBorder="1" applyFont="1">
      <alignment readingOrder="0" vertical="bottom"/>
    </xf>
    <xf borderId="5" fillId="11" fontId="3" numFmtId="0" xfId="0" applyAlignment="1" applyBorder="1" applyFont="1">
      <alignment readingOrder="0" vertical="bottom"/>
    </xf>
    <xf borderId="5" fillId="6" fontId="15" numFmtId="0" xfId="0" applyAlignment="1" applyBorder="1" applyFont="1">
      <alignment horizontal="center" readingOrder="0" vertical="bottom"/>
    </xf>
    <xf borderId="5" fillId="5" fontId="3" numFmtId="0" xfId="0" applyAlignment="1" applyBorder="1" applyFont="1">
      <alignment readingOrder="0" vertical="bottom"/>
    </xf>
    <xf borderId="5" fillId="13" fontId="3" numFmtId="0" xfId="0" applyAlignment="1" applyBorder="1" applyFill="1" applyFont="1">
      <alignment horizontal="center" readingOrder="0" vertical="bottom"/>
    </xf>
    <xf borderId="5" fillId="13" fontId="5" numFmtId="0" xfId="0" applyAlignment="1" applyBorder="1" applyFont="1">
      <alignment horizontal="center" readingOrder="0" vertical="bottom"/>
    </xf>
    <xf borderId="5" fillId="11" fontId="15" numFmtId="0" xfId="0" applyAlignment="1" applyBorder="1" applyFont="1">
      <alignment horizontal="center" readingOrder="0" vertical="bottom"/>
    </xf>
    <xf borderId="5" fillId="11" fontId="16" numFmtId="0" xfId="0" applyAlignment="1" applyBorder="1" applyFont="1">
      <alignment horizontal="center" readingOrder="0" vertical="bottom"/>
    </xf>
    <xf borderId="5" fillId="5" fontId="4" numFmtId="0" xfId="0" applyAlignment="1" applyBorder="1" applyFont="1">
      <alignment horizontal="center" readingOrder="0" vertical="bottom"/>
    </xf>
    <xf borderId="5" fillId="12" fontId="4" numFmtId="0" xfId="0" applyAlignment="1" applyBorder="1" applyFont="1">
      <alignment horizontal="center" readingOrder="0" vertical="bottom"/>
    </xf>
    <xf borderId="5" fillId="12" fontId="3" numFmtId="0" xfId="0" applyAlignment="1" applyBorder="1" applyFont="1">
      <alignment horizontal="center" vertical="bottom"/>
    </xf>
    <xf borderId="3" fillId="5" fontId="4" numFmtId="0" xfId="0" applyAlignment="1" applyBorder="1" applyFont="1">
      <alignment horizontal="center" readingOrder="0" vertical="bottom"/>
    </xf>
    <xf borderId="1" fillId="5" fontId="4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vertical="bottom"/>
    </xf>
    <xf borderId="3" fillId="13" fontId="17" numFmtId="0" xfId="0" applyAlignment="1" applyBorder="1" applyFont="1">
      <alignment horizontal="center" readingOrder="0" vertical="bottom"/>
    </xf>
    <xf borderId="1" fillId="13" fontId="17" numFmtId="0" xfId="0" applyAlignment="1" applyBorder="1" applyFont="1">
      <alignment horizontal="center" readingOrder="0" vertical="bottom"/>
    </xf>
    <xf borderId="1" fillId="13" fontId="4" numFmtId="0" xfId="0" applyAlignment="1" applyBorder="1" applyFont="1">
      <alignment horizontal="center" readingOrder="0" vertical="bottom"/>
    </xf>
    <xf borderId="1" fillId="13" fontId="3" numFmtId="0" xfId="0" applyAlignment="1" applyBorder="1" applyFont="1">
      <alignment vertical="bottom"/>
    </xf>
    <xf borderId="1" fillId="5" fontId="17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vertical="bottom"/>
    </xf>
    <xf borderId="0" fillId="0" fontId="18" numFmtId="0" xfId="0" applyAlignment="1" applyFont="1">
      <alignment readingOrder="0" vertical="bottom"/>
    </xf>
    <xf borderId="3" fillId="5" fontId="8" numFmtId="0" xfId="0" applyAlignment="1" applyBorder="1" applyFont="1">
      <alignment horizontal="center" vertical="bottom"/>
    </xf>
    <xf borderId="5" fillId="12" fontId="19" numFmtId="166" xfId="0" applyAlignment="1" applyBorder="1" applyFont="1" applyNumberFormat="1">
      <alignment horizontal="center" readingOrder="0" vertical="bottom"/>
    </xf>
    <xf borderId="1" fillId="12" fontId="19" numFmtId="166" xfId="0" applyAlignment="1" applyBorder="1" applyFont="1" applyNumberFormat="1">
      <alignment horizontal="center" vertical="bottom"/>
    </xf>
    <xf borderId="1" fillId="12" fontId="19" numFmtId="166" xfId="0" applyAlignment="1" applyBorder="1" applyFont="1" applyNumberFormat="1">
      <alignment horizontal="center" readingOrder="0" vertical="bottom"/>
    </xf>
    <xf borderId="1" fillId="12" fontId="8" numFmtId="166" xfId="0" applyAlignment="1" applyBorder="1" applyFont="1" applyNumberFormat="1">
      <alignment horizontal="center" vertical="bottom"/>
    </xf>
    <xf borderId="1" fillId="12" fontId="4" numFmtId="166" xfId="0" applyAlignment="1" applyBorder="1" applyFont="1" applyNumberFormat="1">
      <alignment horizontal="right" vertical="bottom"/>
    </xf>
    <xf borderId="1" fillId="12" fontId="4" numFmtId="166" xfId="0" applyAlignment="1" applyBorder="1" applyFont="1" applyNumberFormat="1">
      <alignment horizontal="right" readingOrder="0" vertical="bottom"/>
    </xf>
    <xf borderId="1" fillId="12" fontId="5" numFmtId="166" xfId="0" applyAlignment="1" applyBorder="1" applyFont="1" applyNumberFormat="1">
      <alignment horizontal="center" readingOrder="0" vertical="bottom"/>
    </xf>
    <xf borderId="0" fillId="12" fontId="1" numFmtId="0" xfId="0" applyAlignment="1" applyFont="1">
      <alignment vertical="bottom"/>
    </xf>
    <xf borderId="5" fillId="5" fontId="20" numFmtId="166" xfId="0" applyAlignment="1" applyBorder="1" applyFont="1" applyNumberFormat="1">
      <alignment horizontal="center" vertical="bottom"/>
    </xf>
    <xf borderId="1" fillId="5" fontId="20" numFmtId="166" xfId="0" applyAlignment="1" applyBorder="1" applyFont="1" applyNumberFormat="1">
      <alignment horizontal="center" vertical="bottom"/>
    </xf>
    <xf borderId="1" fillId="5" fontId="8" numFmtId="166" xfId="0" applyAlignment="1" applyBorder="1" applyFont="1" applyNumberFormat="1">
      <alignment horizontal="right" vertical="bottom"/>
    </xf>
    <xf borderId="1" fillId="5" fontId="4" numFmtId="166" xfId="0" applyAlignment="1" applyBorder="1" applyFont="1" applyNumberFormat="1">
      <alignment horizontal="right" vertical="bottom"/>
    </xf>
    <xf borderId="1" fillId="5" fontId="21" numFmtId="166" xfId="0" applyAlignment="1" applyBorder="1" applyFont="1" applyNumberFormat="1">
      <alignment horizontal="right" vertical="bottom"/>
    </xf>
    <xf borderId="1" fillId="5" fontId="22" numFmtId="166" xfId="0" applyAlignment="1" applyBorder="1" applyFont="1" applyNumberFormat="1">
      <alignment horizontal="center" vertical="bottom"/>
    </xf>
    <xf borderId="0" fillId="5" fontId="1" numFmtId="166" xfId="0" applyAlignment="1" applyFont="1" applyNumberFormat="1">
      <alignment vertical="bottom"/>
    </xf>
    <xf borderId="4" fillId="12" fontId="18" numFmtId="166" xfId="0" applyAlignment="1" applyBorder="1" applyFont="1" applyNumberFormat="1">
      <alignment vertical="bottom"/>
    </xf>
    <xf borderId="4" fillId="12" fontId="1" numFmtId="166" xfId="0" applyAlignment="1" applyBorder="1" applyFont="1" applyNumberFormat="1">
      <alignment vertical="bottom"/>
    </xf>
    <xf borderId="1" fillId="12" fontId="1" numFmtId="166" xfId="0" applyAlignment="1" applyBorder="1" applyFont="1" applyNumberFormat="1">
      <alignment vertical="bottom"/>
    </xf>
    <xf borderId="1" fillId="12" fontId="1" numFmtId="0" xfId="0" applyAlignment="1" applyBorder="1" applyFont="1">
      <alignment vertical="bottom"/>
    </xf>
    <xf borderId="0" fillId="12" fontId="18" numFmtId="0" xfId="0" applyAlignment="1" applyFont="1">
      <alignment readingOrder="0" vertical="bottom"/>
    </xf>
    <xf borderId="0" fillId="12" fontId="18" numFmtId="0" xfId="0" applyAlignment="1" applyFont="1">
      <alignment readingOrder="0" vertical="bottom"/>
    </xf>
    <xf borderId="0" fillId="0" fontId="23" numFmtId="0" xfId="0" applyFont="1"/>
    <xf borderId="5" fillId="12" fontId="1" numFmtId="0" xfId="0" applyAlignment="1" applyBorder="1" applyFont="1">
      <alignment vertical="bottom"/>
    </xf>
    <xf borderId="1" fillId="12" fontId="2" numFmtId="0" xfId="0" applyAlignment="1" applyBorder="1" applyFont="1">
      <alignment horizontal="center" vertical="bottom"/>
    </xf>
    <xf borderId="4" fillId="12" fontId="2" numFmtId="0" xfId="0" applyAlignment="1" applyBorder="1" applyFont="1">
      <alignment horizontal="center" vertical="bottom"/>
    </xf>
    <xf borderId="0" fillId="12" fontId="2" numFmtId="0" xfId="0" applyAlignment="1" applyFont="1">
      <alignment horizontal="center" vertical="bottom"/>
    </xf>
    <xf borderId="5" fillId="5" fontId="1" numFmtId="0" xfId="0" applyAlignment="1" applyBorder="1" applyFont="1">
      <alignment vertical="bottom"/>
    </xf>
    <xf borderId="1" fillId="5" fontId="3" numFmtId="166" xfId="0" applyAlignment="1" applyBorder="1" applyFont="1" applyNumberFormat="1">
      <alignment horizontal="center" vertical="bottom"/>
    </xf>
    <xf borderId="1" fillId="5" fontId="2" numFmtId="166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horizontal="center" vertical="bottom"/>
    </xf>
    <xf borderId="1" fillId="12" fontId="3" numFmtId="0" xfId="0" applyAlignment="1" applyBorder="1" applyFont="1">
      <alignment horizontal="center" vertical="bottom"/>
    </xf>
    <xf borderId="1" fillId="12" fontId="3" numFmtId="166" xfId="0" applyAlignment="1" applyBorder="1" applyFont="1" applyNumberFormat="1">
      <alignment horizontal="center" vertical="bottom"/>
    </xf>
    <xf borderId="1" fillId="12" fontId="3" numFmtId="166" xfId="0" applyAlignment="1" applyBorder="1" applyFont="1" applyNumberFormat="1">
      <alignment horizontal="center" readingOrder="0" vertical="bottom"/>
    </xf>
    <xf borderId="0" fillId="12" fontId="3" numFmtId="0" xfId="0" applyAlignment="1" applyFont="1">
      <alignment horizontal="center" vertical="bottom"/>
    </xf>
    <xf borderId="1" fillId="5" fontId="3" numFmtId="166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horizontal="center" readingOrder="0" vertical="bottom"/>
    </xf>
    <xf borderId="0" fillId="12" fontId="3" numFmtId="0" xfId="0" applyAlignment="1" applyFont="1">
      <alignment horizontal="center" readingOrder="0" vertical="bottom"/>
    </xf>
    <xf borderId="0" fillId="12" fontId="3" numFmtId="166" xfId="0" applyAlignment="1" applyFont="1" applyNumberFormat="1">
      <alignment horizontal="center" readingOrder="0" vertical="bottom"/>
    </xf>
    <xf borderId="1" fillId="12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12" fontId="2" numFmtId="166" xfId="0" applyAlignment="1" applyBorder="1" applyFont="1" applyNumberFormat="1">
      <alignment horizontal="center" vertical="bottom"/>
    </xf>
    <xf borderId="1" fillId="5" fontId="1" numFmtId="166" xfId="0" applyAlignment="1" applyBorder="1" applyFont="1" applyNumberFormat="1">
      <alignment vertical="bottom"/>
    </xf>
    <xf borderId="1" fillId="5" fontId="1" numFmtId="0" xfId="0" applyAlignment="1" applyBorder="1" applyFont="1">
      <alignment vertical="bottom"/>
    </xf>
    <xf borderId="0" fillId="12" fontId="1" numFmtId="166" xfId="0" applyAlignment="1" applyFont="1" applyNumberFormat="1">
      <alignment vertical="bottom"/>
    </xf>
    <xf borderId="0" fillId="5" fontId="1" numFmtId="0" xfId="0" applyAlignment="1" applyFont="1">
      <alignment vertical="bottom"/>
    </xf>
    <xf borderId="4" fillId="0" fontId="1" numFmtId="0" xfId="0" applyAlignment="1" applyBorder="1" applyFont="1">
      <alignment vertical="bottom"/>
    </xf>
    <xf borderId="1" fillId="6" fontId="2" numFmtId="0" xfId="0" applyAlignment="1" applyBorder="1" applyFont="1">
      <alignment horizontal="center" vertical="bottom"/>
    </xf>
    <xf borderId="1" fillId="6" fontId="2" numFmtId="0" xfId="0" applyAlignment="1" applyBorder="1" applyFont="1">
      <alignment horizontal="center" readingOrder="0" vertical="bottom"/>
    </xf>
    <xf borderId="1" fillId="14" fontId="2" numFmtId="0" xfId="0" applyAlignment="1" applyBorder="1" applyFill="1" applyFon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Pointage-style">
      <tableStyleElement dxfId="1" type="firstRowStripe"/>
      <tableStyleElement dxfId="2" type="secondRowStripe"/>
    </tableStyle>
    <tableStyle count="2" pivot="0" name="Les Salaires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:R38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Pointage-style" showColumnStripes="0" showFirstColumn="1" showLastColumn="1" showRowStripes="1"/>
</table>
</file>

<file path=xl/tables/table2.xml><?xml version="1.0" encoding="utf-8"?>
<table xmlns="http://schemas.openxmlformats.org/spreadsheetml/2006/main" headerRowCount="0" ref="G5:L27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s Salai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3.63"/>
    <col customWidth="1" min="3" max="3" width="28.38"/>
    <col customWidth="1" min="4" max="4" width="27.13"/>
    <col customWidth="1" min="5" max="5" width="22.13"/>
    <col customWidth="1" min="6" max="6" width="20.63"/>
    <col customWidth="1" min="7" max="7" width="20.88"/>
    <col customWidth="1" min="8" max="8" width="19.38"/>
    <col customWidth="1" min="9" max="9" width="30.13"/>
    <col customWidth="1" min="10" max="10" width="20.88"/>
    <col customWidth="1" min="11" max="11" width="28.38"/>
    <col customWidth="1" min="12" max="12" width="26.38"/>
    <col customWidth="1" min="13" max="13" width="29.38"/>
    <col customWidth="1" min="14" max="14" width="52.88"/>
    <col customWidth="1" min="15" max="15" width="39.13"/>
    <col customWidth="1" min="16" max="16" width="38.63"/>
    <col customWidth="1" min="17" max="17" width="58.1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</row>
    <row r="2">
      <c r="A2" s="9" t="s">
        <v>11</v>
      </c>
      <c r="B2" s="10">
        <v>45778.0</v>
      </c>
      <c r="C2" s="11">
        <v>0.0</v>
      </c>
      <c r="D2" s="12">
        <v>66000.0</v>
      </c>
      <c r="E2" s="13"/>
      <c r="F2" s="14"/>
      <c r="G2" s="12">
        <v>2000.0</v>
      </c>
      <c r="H2" s="13"/>
      <c r="I2" s="13"/>
      <c r="J2" s="15">
        <v>1.0</v>
      </c>
      <c r="K2" s="16"/>
      <c r="L2" s="17"/>
      <c r="M2" s="11">
        <v>0.0</v>
      </c>
      <c r="N2" s="6"/>
      <c r="O2" s="6"/>
      <c r="P2" s="6"/>
      <c r="Q2" s="6"/>
      <c r="R2" s="6"/>
      <c r="S2" s="6"/>
    </row>
    <row r="3">
      <c r="A3" s="18" t="s">
        <v>12</v>
      </c>
      <c r="B3" s="19">
        <v>45779.0</v>
      </c>
      <c r="C3" s="20">
        <v>0.0</v>
      </c>
      <c r="D3" s="21">
        <v>40000.0</v>
      </c>
      <c r="E3" s="22"/>
      <c r="F3" s="23"/>
      <c r="G3" s="21">
        <v>2000.0</v>
      </c>
      <c r="H3" s="22"/>
      <c r="I3" s="22"/>
      <c r="J3" s="24">
        <v>1.0</v>
      </c>
      <c r="K3" s="16"/>
      <c r="L3" s="17"/>
      <c r="M3" s="11">
        <v>0.0</v>
      </c>
      <c r="N3" s="25" t="s">
        <v>13</v>
      </c>
      <c r="O3" s="25" t="s">
        <v>14</v>
      </c>
      <c r="P3" s="26" t="s">
        <v>15</v>
      </c>
      <c r="Q3" s="27" t="s">
        <v>16</v>
      </c>
      <c r="R3" s="6"/>
      <c r="S3" s="6"/>
    </row>
    <row r="4">
      <c r="A4" s="9" t="s">
        <v>17</v>
      </c>
      <c r="B4" s="10">
        <v>45780.0</v>
      </c>
      <c r="C4" s="11">
        <v>0.0</v>
      </c>
      <c r="D4" s="12">
        <v>57000.0</v>
      </c>
      <c r="E4" s="13"/>
      <c r="F4" s="14"/>
      <c r="G4" s="12">
        <v>2000.0</v>
      </c>
      <c r="H4" s="13"/>
      <c r="I4" s="13"/>
      <c r="J4" s="15">
        <v>1.0</v>
      </c>
      <c r="K4" s="16"/>
      <c r="L4" s="17"/>
      <c r="M4" s="11">
        <v>0.0</v>
      </c>
      <c r="N4" s="28">
        <f>I33/J33</f>
        <v>20666.34194</v>
      </c>
      <c r="O4" s="28">
        <f>D33/J33</f>
        <v>67000</v>
      </c>
      <c r="P4" s="29"/>
      <c r="Q4" s="30">
        <f>P4/O4</f>
        <v>0</v>
      </c>
      <c r="R4" s="6"/>
      <c r="S4" s="6"/>
    </row>
    <row r="5">
      <c r="A5" s="9" t="s">
        <v>18</v>
      </c>
      <c r="B5" s="10">
        <v>45781.0</v>
      </c>
      <c r="C5" s="11">
        <v>0.0</v>
      </c>
      <c r="D5" s="12">
        <v>41000.0</v>
      </c>
      <c r="E5" s="13"/>
      <c r="F5" s="14"/>
      <c r="G5" s="12">
        <v>2000.0</v>
      </c>
      <c r="H5" s="13"/>
      <c r="I5" s="13"/>
      <c r="J5" s="15">
        <v>1.0</v>
      </c>
      <c r="K5" s="16"/>
      <c r="L5" s="17"/>
      <c r="M5" s="20">
        <v>0.0</v>
      </c>
      <c r="N5" s="1"/>
      <c r="O5" s="1"/>
      <c r="P5" s="6"/>
      <c r="Q5" s="31"/>
      <c r="R5" s="6"/>
      <c r="S5" s="6"/>
    </row>
    <row r="6">
      <c r="A6" s="9" t="s">
        <v>19</v>
      </c>
      <c r="B6" s="10">
        <v>45782.0</v>
      </c>
      <c r="C6" s="11">
        <v>15000.0</v>
      </c>
      <c r="D6" s="12">
        <v>43000.0</v>
      </c>
      <c r="E6" s="13"/>
      <c r="F6" s="14"/>
      <c r="G6" s="12">
        <v>2000.0</v>
      </c>
      <c r="H6" s="13"/>
      <c r="I6" s="13"/>
      <c r="J6" s="15">
        <v>1.0</v>
      </c>
      <c r="K6" s="16"/>
      <c r="L6" s="17"/>
      <c r="M6" s="11">
        <v>15000.0</v>
      </c>
      <c r="N6" s="32" t="s">
        <v>20</v>
      </c>
      <c r="O6" s="33" t="s">
        <v>21</v>
      </c>
      <c r="P6" s="6"/>
      <c r="Q6" s="1"/>
      <c r="R6" s="6"/>
      <c r="S6" s="6"/>
    </row>
    <row r="7">
      <c r="A7" s="9" t="s">
        <v>22</v>
      </c>
      <c r="B7" s="10">
        <v>45783.0</v>
      </c>
      <c r="C7" s="12">
        <v>33000.0</v>
      </c>
      <c r="D7" s="12">
        <v>28000.0</v>
      </c>
      <c r="E7" s="13"/>
      <c r="F7" s="14"/>
      <c r="G7" s="12">
        <v>2000.0</v>
      </c>
      <c r="H7" s="13"/>
      <c r="I7" s="13"/>
      <c r="J7" s="15">
        <v>1.0</v>
      </c>
      <c r="K7" s="16"/>
      <c r="L7" s="17"/>
      <c r="M7" s="11">
        <v>33000.0</v>
      </c>
      <c r="N7" s="34">
        <f>E33/J33</f>
        <v>25809.03548</v>
      </c>
      <c r="O7" s="34">
        <v>100000.0</v>
      </c>
      <c r="P7" s="1"/>
      <c r="Q7" s="1"/>
      <c r="R7" s="6"/>
      <c r="S7" s="6"/>
    </row>
    <row r="8">
      <c r="A8" s="9" t="s">
        <v>23</v>
      </c>
      <c r="B8" s="10">
        <v>45784.0</v>
      </c>
      <c r="C8" s="12">
        <v>54000.0</v>
      </c>
      <c r="D8" s="12">
        <v>40000.0</v>
      </c>
      <c r="E8" s="13"/>
      <c r="F8" s="14"/>
      <c r="G8" s="12">
        <v>2000.0</v>
      </c>
      <c r="H8" s="13"/>
      <c r="I8" s="13"/>
      <c r="J8" s="15">
        <v>1.0</v>
      </c>
      <c r="K8" s="16"/>
      <c r="L8" s="17"/>
      <c r="M8" s="11">
        <v>54000.0</v>
      </c>
      <c r="N8" s="1" t="s">
        <v>24</v>
      </c>
      <c r="O8" s="1"/>
      <c r="P8" s="1"/>
      <c r="Q8" s="1"/>
      <c r="R8" s="6"/>
      <c r="S8" s="6" t="s">
        <v>25</v>
      </c>
    </row>
    <row r="9">
      <c r="A9" s="9" t="s">
        <v>11</v>
      </c>
      <c r="B9" s="10">
        <v>45785.0</v>
      </c>
      <c r="C9" s="12">
        <v>32000.0</v>
      </c>
      <c r="D9" s="12">
        <v>78000.0</v>
      </c>
      <c r="E9" s="13"/>
      <c r="F9" s="14"/>
      <c r="G9" s="12">
        <v>2000.0</v>
      </c>
      <c r="H9" s="13"/>
      <c r="I9" s="13"/>
      <c r="J9" s="15">
        <v>1.0</v>
      </c>
      <c r="K9" s="16"/>
      <c r="L9" s="17"/>
      <c r="M9" s="11">
        <v>32000.0</v>
      </c>
      <c r="N9" s="1"/>
      <c r="O9" s="1"/>
      <c r="P9" s="1"/>
      <c r="Q9" s="1"/>
      <c r="R9" s="6"/>
      <c r="S9" s="6"/>
    </row>
    <row r="10">
      <c r="A10" s="18" t="s">
        <v>12</v>
      </c>
      <c r="B10" s="19">
        <v>45786.0</v>
      </c>
      <c r="C10" s="21">
        <v>48000.0</v>
      </c>
      <c r="D10" s="21">
        <v>53000.0</v>
      </c>
      <c r="E10" s="22"/>
      <c r="F10" s="23"/>
      <c r="G10" s="21">
        <v>2000.0</v>
      </c>
      <c r="H10" s="22"/>
      <c r="I10" s="22"/>
      <c r="J10" s="24">
        <v>1.0</v>
      </c>
      <c r="K10" s="16"/>
      <c r="L10" s="17"/>
      <c r="M10" s="11">
        <v>48000.0</v>
      </c>
      <c r="N10" s="35" t="s">
        <v>26</v>
      </c>
      <c r="O10" s="35" t="s">
        <v>27</v>
      </c>
      <c r="P10" s="36" t="s">
        <v>28</v>
      </c>
      <c r="Q10" s="37" t="s">
        <v>29</v>
      </c>
      <c r="R10" s="6"/>
      <c r="S10" s="6"/>
    </row>
    <row r="11">
      <c r="A11" s="9" t="s">
        <v>17</v>
      </c>
      <c r="B11" s="10">
        <v>45787.0</v>
      </c>
      <c r="C11" s="12">
        <v>46000.0</v>
      </c>
      <c r="D11" s="12">
        <v>47000.0</v>
      </c>
      <c r="E11" s="13"/>
      <c r="F11" s="14"/>
      <c r="G11" s="12">
        <v>2000.0</v>
      </c>
      <c r="H11" s="13"/>
      <c r="I11" s="13"/>
      <c r="J11" s="15">
        <v>1.0</v>
      </c>
      <c r="K11" s="16"/>
      <c r="L11" s="17"/>
      <c r="M11" s="11">
        <v>46000.0</v>
      </c>
      <c r="N11" s="11">
        <f>D33+N14-E33-O11-'Les Salaires'!J23-G33</f>
        <v>1109419.9</v>
      </c>
      <c r="O11" s="38">
        <v>38000.0</v>
      </c>
      <c r="P11" s="39">
        <v>645000.0</v>
      </c>
      <c r="Q11" s="34">
        <f>N11-P11</f>
        <v>464419.9</v>
      </c>
      <c r="R11" s="6"/>
      <c r="S11" s="6"/>
    </row>
    <row r="12">
      <c r="A12" s="9" t="s">
        <v>18</v>
      </c>
      <c r="B12" s="10">
        <v>45788.0</v>
      </c>
      <c r="C12" s="12">
        <v>78000.0</v>
      </c>
      <c r="D12" s="12">
        <v>48000.0</v>
      </c>
      <c r="E12" s="13"/>
      <c r="F12" s="14"/>
      <c r="G12" s="12">
        <v>2000.0</v>
      </c>
      <c r="H12" s="13"/>
      <c r="I12" s="13"/>
      <c r="J12" s="15">
        <v>1.0</v>
      </c>
      <c r="K12" s="16"/>
      <c r="L12" s="17"/>
      <c r="M12" s="20">
        <v>78000.0</v>
      </c>
      <c r="N12" s="1"/>
      <c r="O12" s="1"/>
      <c r="P12" s="40"/>
      <c r="Q12" s="40"/>
      <c r="R12" s="6"/>
      <c r="S12" s="6"/>
    </row>
    <row r="13">
      <c r="A13" s="9" t="s">
        <v>19</v>
      </c>
      <c r="B13" s="10">
        <v>45789.0</v>
      </c>
      <c r="C13" s="12">
        <v>56000.0</v>
      </c>
      <c r="D13" s="12">
        <v>54000.0</v>
      </c>
      <c r="E13" s="13"/>
      <c r="F13" s="14"/>
      <c r="G13" s="12">
        <v>2000.0</v>
      </c>
      <c r="H13" s="13"/>
      <c r="I13" s="13"/>
      <c r="J13" s="15">
        <v>1.0</v>
      </c>
      <c r="K13" s="16"/>
      <c r="L13" s="17"/>
      <c r="M13" s="11">
        <v>56000.0</v>
      </c>
      <c r="N13" s="36" t="s">
        <v>30</v>
      </c>
      <c r="O13" s="40"/>
      <c r="P13" s="6"/>
      <c r="Q13" s="40"/>
      <c r="R13" s="6"/>
      <c r="S13" s="6"/>
    </row>
    <row r="14">
      <c r="A14" s="9" t="s">
        <v>22</v>
      </c>
      <c r="B14" s="10">
        <v>45790.0</v>
      </c>
      <c r="C14" s="12">
        <v>65000.0</v>
      </c>
      <c r="D14" s="12">
        <v>71000.0</v>
      </c>
      <c r="E14" s="13"/>
      <c r="F14" s="14"/>
      <c r="G14" s="12">
        <v>2000.0</v>
      </c>
      <c r="H14" s="13"/>
      <c r="I14" s="13"/>
      <c r="J14" s="15">
        <v>1.0</v>
      </c>
      <c r="K14" s="41"/>
      <c r="L14" s="17"/>
      <c r="M14" s="11">
        <v>65000.0</v>
      </c>
      <c r="N14" s="42">
        <v>330000.0</v>
      </c>
      <c r="O14" s="40"/>
      <c r="P14" s="6"/>
      <c r="Q14" s="29"/>
      <c r="R14" s="6"/>
      <c r="S14" s="6"/>
    </row>
    <row r="15">
      <c r="A15" s="9" t="s">
        <v>23</v>
      </c>
      <c r="B15" s="10">
        <v>45791.0</v>
      </c>
      <c r="C15" s="12">
        <v>39000.0</v>
      </c>
      <c r="D15" s="12">
        <v>59000.0</v>
      </c>
      <c r="E15" s="13"/>
      <c r="F15" s="14"/>
      <c r="G15" s="12">
        <v>2000.0</v>
      </c>
      <c r="H15" s="13"/>
      <c r="I15" s="13"/>
      <c r="J15" s="15">
        <v>1.0</v>
      </c>
      <c r="K15" s="16"/>
      <c r="L15" s="17"/>
      <c r="M15" s="11">
        <v>39000.0</v>
      </c>
      <c r="N15" s="29"/>
      <c r="O15" s="29"/>
      <c r="P15" s="16"/>
      <c r="Q15" s="43" t="s">
        <v>31</v>
      </c>
      <c r="R15" s="6"/>
      <c r="S15" s="6"/>
    </row>
    <row r="16">
      <c r="A16" s="9" t="s">
        <v>11</v>
      </c>
      <c r="B16" s="10">
        <v>45792.0</v>
      </c>
      <c r="C16" s="12">
        <v>43000.0</v>
      </c>
      <c r="D16" s="12">
        <v>60000.0</v>
      </c>
      <c r="E16" s="13"/>
      <c r="F16" s="14"/>
      <c r="G16" s="12">
        <v>2000.0</v>
      </c>
      <c r="H16" s="13"/>
      <c r="I16" s="13"/>
      <c r="J16" s="15">
        <v>1.0</v>
      </c>
      <c r="K16" s="44">
        <v>1.0</v>
      </c>
      <c r="L16" s="17"/>
      <c r="M16" s="11">
        <v>43000.0</v>
      </c>
      <c r="N16" s="45" t="s">
        <v>32</v>
      </c>
      <c r="O16" s="29"/>
      <c r="P16" s="29"/>
      <c r="Q16" s="43"/>
      <c r="R16" s="6"/>
      <c r="S16" s="6"/>
    </row>
    <row r="17">
      <c r="A17" s="18" t="s">
        <v>12</v>
      </c>
      <c r="B17" s="19">
        <v>45793.0</v>
      </c>
      <c r="C17" s="21">
        <v>62000.0</v>
      </c>
      <c r="D17" s="21">
        <v>66000.0</v>
      </c>
      <c r="E17" s="22"/>
      <c r="F17" s="23"/>
      <c r="G17" s="21">
        <v>2000.0</v>
      </c>
      <c r="H17" s="22"/>
      <c r="I17" s="22"/>
      <c r="J17" s="24">
        <v>1.0</v>
      </c>
      <c r="K17" s="44">
        <v>1.0</v>
      </c>
      <c r="L17" s="17"/>
      <c r="M17" s="11">
        <v>62000.0</v>
      </c>
      <c r="N17" s="46">
        <v>440000.0</v>
      </c>
      <c r="O17" s="29"/>
      <c r="P17" s="29"/>
      <c r="Q17" s="47" t="s">
        <v>33</v>
      </c>
      <c r="R17" s="6"/>
      <c r="S17" s="6"/>
    </row>
    <row r="18">
      <c r="A18" s="9" t="s">
        <v>17</v>
      </c>
      <c r="B18" s="10">
        <v>45794.0</v>
      </c>
      <c r="C18" s="12">
        <v>91000.0</v>
      </c>
      <c r="D18" s="12">
        <v>48000.0</v>
      </c>
      <c r="E18" s="13"/>
      <c r="F18" s="14"/>
      <c r="G18" s="12">
        <v>2000.0</v>
      </c>
      <c r="H18" s="13"/>
      <c r="I18" s="13"/>
      <c r="J18" s="15">
        <v>1.0</v>
      </c>
      <c r="K18" s="16"/>
      <c r="L18" s="17"/>
      <c r="M18" s="11">
        <v>91000.0</v>
      </c>
      <c r="N18" s="48"/>
      <c r="O18" s="29"/>
      <c r="P18" s="49"/>
      <c r="Q18" s="50"/>
      <c r="R18" s="51"/>
      <c r="S18" s="6"/>
    </row>
    <row r="19">
      <c r="A19" s="9" t="s">
        <v>18</v>
      </c>
      <c r="B19" s="10">
        <v>45795.0</v>
      </c>
      <c r="C19" s="12">
        <v>59000.0</v>
      </c>
      <c r="D19" s="12">
        <v>45000.0</v>
      </c>
      <c r="E19" s="13"/>
      <c r="F19" s="14"/>
      <c r="G19" s="12">
        <v>2000.0</v>
      </c>
      <c r="H19" s="13"/>
      <c r="I19" s="13"/>
      <c r="J19" s="15">
        <v>1.0</v>
      </c>
      <c r="K19" s="16"/>
      <c r="L19" s="17"/>
      <c r="M19" s="20">
        <v>59000.0</v>
      </c>
      <c r="N19" s="52" t="s">
        <v>34</v>
      </c>
      <c r="O19" s="29"/>
      <c r="P19" s="29"/>
      <c r="Q19" s="29"/>
      <c r="R19" s="29"/>
      <c r="S19" s="29"/>
    </row>
    <row r="20">
      <c r="A20" s="9" t="s">
        <v>19</v>
      </c>
      <c r="B20" s="10">
        <v>45796.0</v>
      </c>
      <c r="C20" s="12">
        <v>32000.0</v>
      </c>
      <c r="D20" s="12">
        <v>50000.0</v>
      </c>
      <c r="E20" s="13"/>
      <c r="F20" s="14"/>
      <c r="G20" s="12">
        <v>2000.0</v>
      </c>
      <c r="H20" s="13"/>
      <c r="I20" s="13"/>
      <c r="J20" s="15">
        <v>1.0</v>
      </c>
      <c r="K20" s="16"/>
      <c r="L20" s="17"/>
      <c r="M20" s="11">
        <v>32000.0</v>
      </c>
      <c r="N20" s="11">
        <f>D33-C33</f>
        <v>795000</v>
      </c>
      <c r="O20" s="29"/>
      <c r="P20" s="6"/>
      <c r="Q20" s="49"/>
      <c r="R20" s="6"/>
      <c r="S20" s="6"/>
    </row>
    <row r="21">
      <c r="A21" s="9" t="s">
        <v>22</v>
      </c>
      <c r="B21" s="10">
        <v>45797.0</v>
      </c>
      <c r="C21" s="12">
        <v>53000.0</v>
      </c>
      <c r="D21" s="12">
        <v>60000.0</v>
      </c>
      <c r="E21" s="13"/>
      <c r="F21" s="14"/>
      <c r="G21" s="12">
        <v>2000.0</v>
      </c>
      <c r="H21" s="13"/>
      <c r="I21" s="13"/>
      <c r="J21" s="15">
        <v>1.0</v>
      </c>
      <c r="K21" s="16"/>
      <c r="L21" s="17"/>
      <c r="M21" s="11">
        <v>53000.0</v>
      </c>
      <c r="N21" s="53" t="s">
        <v>35</v>
      </c>
      <c r="O21" s="29"/>
      <c r="P21" s="16"/>
      <c r="Q21" s="49"/>
      <c r="R21" s="49"/>
      <c r="S21" s="49"/>
    </row>
    <row r="22">
      <c r="A22" s="9" t="s">
        <v>23</v>
      </c>
      <c r="B22" s="10">
        <v>45798.0</v>
      </c>
      <c r="C22" s="12">
        <v>37000.0</v>
      </c>
      <c r="D22" s="12">
        <v>49000.0</v>
      </c>
      <c r="E22" s="13"/>
      <c r="F22" s="14"/>
      <c r="G22" s="12">
        <v>2000.0</v>
      </c>
      <c r="H22" s="13"/>
      <c r="I22" s="13"/>
      <c r="J22" s="15">
        <v>1.0</v>
      </c>
      <c r="K22" s="16"/>
      <c r="L22" s="17"/>
      <c r="M22" s="11">
        <v>37000.0</v>
      </c>
      <c r="N22" s="34">
        <f>L36-E36</f>
        <v>0</v>
      </c>
      <c r="O22" s="29"/>
      <c r="P22" s="54"/>
      <c r="Q22" s="55"/>
      <c r="R22" s="49"/>
      <c r="S22" s="49"/>
    </row>
    <row r="23">
      <c r="A23" s="9" t="s">
        <v>11</v>
      </c>
      <c r="B23" s="10">
        <v>45799.0</v>
      </c>
      <c r="C23" s="12">
        <v>49000.0</v>
      </c>
      <c r="D23" s="12">
        <v>79000.0</v>
      </c>
      <c r="E23" s="13"/>
      <c r="F23" s="14"/>
      <c r="G23" s="12">
        <v>2000.0</v>
      </c>
      <c r="H23" s="13"/>
      <c r="I23" s="13"/>
      <c r="J23" s="15">
        <v>1.0</v>
      </c>
      <c r="K23" s="16"/>
      <c r="L23" s="17"/>
      <c r="M23" s="11">
        <v>49000.0</v>
      </c>
      <c r="N23" s="56" t="s">
        <v>36</v>
      </c>
      <c r="O23" s="29"/>
      <c r="P23" s="54"/>
      <c r="Q23" s="55"/>
      <c r="R23" s="49"/>
      <c r="S23" s="49"/>
    </row>
    <row r="24">
      <c r="A24" s="18" t="s">
        <v>12</v>
      </c>
      <c r="B24" s="19">
        <v>45800.0</v>
      </c>
      <c r="C24" s="21">
        <v>63000.0</v>
      </c>
      <c r="D24" s="21">
        <v>512000.0</v>
      </c>
      <c r="E24" s="57" t="s">
        <v>37</v>
      </c>
      <c r="F24" s="23"/>
      <c r="G24" s="21">
        <v>2000.0</v>
      </c>
      <c r="H24" s="22"/>
      <c r="I24" s="22"/>
      <c r="J24" s="24">
        <v>1.0</v>
      </c>
      <c r="K24" s="16"/>
      <c r="L24" s="17"/>
      <c r="M24" s="11">
        <v>63000.0</v>
      </c>
      <c r="N24" s="42">
        <f>D33-C33</f>
        <v>795000</v>
      </c>
      <c r="O24" s="29"/>
      <c r="P24" s="54"/>
      <c r="Q24" s="55"/>
      <c r="R24" s="16"/>
      <c r="S24" s="16"/>
    </row>
    <row r="25">
      <c r="A25" s="9" t="s">
        <v>17</v>
      </c>
      <c r="B25" s="10">
        <v>45801.0</v>
      </c>
      <c r="C25" s="12">
        <v>73000.0</v>
      </c>
      <c r="D25" s="12">
        <v>64000.0</v>
      </c>
      <c r="E25" s="13"/>
      <c r="F25" s="14"/>
      <c r="G25" s="12">
        <v>2000.0</v>
      </c>
      <c r="H25" s="13"/>
      <c r="I25" s="13"/>
      <c r="J25" s="15">
        <v>1.0</v>
      </c>
      <c r="K25" s="16"/>
      <c r="L25" s="17"/>
      <c r="M25" s="11">
        <v>73000.0</v>
      </c>
      <c r="N25" s="36" t="s">
        <v>38</v>
      </c>
      <c r="O25" s="29"/>
      <c r="P25" s="54"/>
      <c r="Q25" s="55"/>
      <c r="R25" s="16"/>
      <c r="S25" s="16"/>
    </row>
    <row r="26">
      <c r="A26" s="9" t="s">
        <v>18</v>
      </c>
      <c r="B26" s="10">
        <v>45802.0</v>
      </c>
      <c r="C26" s="12">
        <v>53000.0</v>
      </c>
      <c r="D26" s="12">
        <v>33000.0</v>
      </c>
      <c r="E26" s="13"/>
      <c r="F26" s="14"/>
      <c r="G26" s="12">
        <v>2000.0</v>
      </c>
      <c r="H26" s="13"/>
      <c r="I26" s="13"/>
      <c r="J26" s="15">
        <v>1.0</v>
      </c>
      <c r="K26" s="16"/>
      <c r="L26" s="17"/>
      <c r="M26" s="20">
        <v>53000.0</v>
      </c>
      <c r="N26" s="34">
        <f>D9+D16+D23+D30</f>
        <v>282000</v>
      </c>
      <c r="O26" s="6"/>
      <c r="P26" s="54"/>
      <c r="Q26" s="55"/>
      <c r="R26" s="16"/>
      <c r="S26" s="16"/>
    </row>
    <row r="27">
      <c r="A27" s="9" t="s">
        <v>19</v>
      </c>
      <c r="B27" s="10">
        <v>45803.0</v>
      </c>
      <c r="C27" s="12">
        <v>1000.0</v>
      </c>
      <c r="D27" s="12">
        <v>36000.0</v>
      </c>
      <c r="E27" s="13"/>
      <c r="F27" s="14"/>
      <c r="G27" s="12">
        <v>2000.0</v>
      </c>
      <c r="H27" s="13"/>
      <c r="I27" s="13"/>
      <c r="J27" s="15">
        <v>1.0</v>
      </c>
      <c r="K27" s="16"/>
      <c r="L27" s="17"/>
      <c r="M27" s="11">
        <v>1000.0</v>
      </c>
      <c r="N27" s="40"/>
      <c r="O27" s="6"/>
      <c r="P27" s="54"/>
      <c r="Q27" s="55"/>
      <c r="R27" s="16"/>
      <c r="S27" s="16"/>
    </row>
    <row r="28">
      <c r="A28" s="9" t="s">
        <v>22</v>
      </c>
      <c r="B28" s="10">
        <v>45804.0</v>
      </c>
      <c r="C28" s="12">
        <v>37000.0</v>
      </c>
      <c r="D28" s="12">
        <v>43000.0</v>
      </c>
      <c r="E28" s="13"/>
      <c r="F28" s="14"/>
      <c r="G28" s="12">
        <v>2000.0</v>
      </c>
      <c r="H28" s="13"/>
      <c r="I28" s="13"/>
      <c r="J28" s="15">
        <v>1.0</v>
      </c>
      <c r="K28" s="16"/>
      <c r="L28" s="17"/>
      <c r="M28" s="11">
        <v>37000.0</v>
      </c>
      <c r="N28" s="32" t="s">
        <v>28</v>
      </c>
      <c r="O28" s="6"/>
      <c r="P28" s="58"/>
      <c r="Q28" s="59"/>
      <c r="R28" s="16"/>
      <c r="S28" s="16"/>
    </row>
    <row r="29">
      <c r="A29" s="9" t="s">
        <v>23</v>
      </c>
      <c r="B29" s="10">
        <v>45805.0</v>
      </c>
      <c r="C29" s="12">
        <v>55000.0</v>
      </c>
      <c r="D29" s="12">
        <v>55000.0</v>
      </c>
      <c r="E29" s="13"/>
      <c r="F29" s="14"/>
      <c r="G29" s="12">
        <v>2000.0</v>
      </c>
      <c r="H29" s="13"/>
      <c r="I29" s="13"/>
      <c r="J29" s="15">
        <v>1.0</v>
      </c>
      <c r="K29" s="16"/>
      <c r="L29" s="17"/>
      <c r="M29" s="11">
        <v>55000.0</v>
      </c>
      <c r="N29" s="34">
        <v>51000.0</v>
      </c>
      <c r="O29" s="29"/>
      <c r="P29" s="58"/>
      <c r="Q29" s="59"/>
      <c r="R29" s="16"/>
      <c r="S29" s="16"/>
    </row>
    <row r="30">
      <c r="A30" s="9" t="s">
        <v>11</v>
      </c>
      <c r="B30" s="10">
        <v>45806.0</v>
      </c>
      <c r="C30" s="12">
        <v>43000.0</v>
      </c>
      <c r="D30" s="12">
        <v>65000.0</v>
      </c>
      <c r="E30" s="13"/>
      <c r="F30" s="14"/>
      <c r="G30" s="12">
        <v>2000.0</v>
      </c>
      <c r="H30" s="13"/>
      <c r="I30" s="13"/>
      <c r="J30" s="15">
        <v>1.0</v>
      </c>
      <c r="K30" s="16"/>
      <c r="L30" s="17"/>
      <c r="M30" s="11">
        <v>43000.0</v>
      </c>
      <c r="N30" s="60" t="s">
        <v>39</v>
      </c>
      <c r="O30" s="6"/>
      <c r="P30" s="58"/>
      <c r="Q30" s="59"/>
      <c r="R30" s="16"/>
      <c r="S30" s="16"/>
    </row>
    <row r="31">
      <c r="A31" s="61" t="s">
        <v>12</v>
      </c>
      <c r="B31" s="19">
        <v>45807.0</v>
      </c>
      <c r="C31" s="21">
        <v>65000.0</v>
      </c>
      <c r="D31" s="21">
        <v>44000.0</v>
      </c>
      <c r="E31" s="22"/>
      <c r="F31" s="23"/>
      <c r="G31" s="21">
        <v>2000.0</v>
      </c>
      <c r="H31" s="22"/>
      <c r="I31" s="22"/>
      <c r="J31" s="24">
        <v>1.0</v>
      </c>
      <c r="K31" s="16"/>
      <c r="L31" s="17"/>
      <c r="M31" s="11">
        <v>65000.0</v>
      </c>
      <c r="N31" s="40"/>
      <c r="O31" s="6"/>
      <c r="P31" s="59"/>
      <c r="Q31" s="58"/>
      <c r="R31" s="16"/>
      <c r="S31" s="16"/>
    </row>
    <row r="32">
      <c r="A32" s="62" t="s">
        <v>40</v>
      </c>
      <c r="B32" s="10">
        <v>45808.0</v>
      </c>
      <c r="C32" s="12">
        <v>0.0</v>
      </c>
      <c r="D32" s="12">
        <v>43000.0</v>
      </c>
      <c r="E32" s="13"/>
      <c r="F32" s="14"/>
      <c r="G32" s="63">
        <v>2000.0</v>
      </c>
      <c r="H32" s="13"/>
      <c r="I32" s="13"/>
      <c r="J32" s="15">
        <v>1.0</v>
      </c>
      <c r="K32" s="16"/>
      <c r="L32" s="17"/>
      <c r="M32" s="11">
        <v>0.0</v>
      </c>
      <c r="N32" s="40"/>
      <c r="O32" s="6"/>
      <c r="P32" s="55"/>
      <c r="Q32" s="55"/>
      <c r="R32" s="16"/>
      <c r="S32" s="16"/>
    </row>
    <row r="33">
      <c r="A33" s="16"/>
      <c r="B33" s="64"/>
      <c r="C33" s="65">
        <f t="shared" ref="C33:D33" si="1">SUM(C2:C32)</f>
        <v>1282000</v>
      </c>
      <c r="D33" s="65">
        <f t="shared" si="1"/>
        <v>2077000</v>
      </c>
      <c r="E33" s="65">
        <f>'Les Charges'!H368</f>
        <v>800080.1</v>
      </c>
      <c r="F33" s="66">
        <f>'Les Salaires'!I23</f>
        <v>394263.3</v>
      </c>
      <c r="G33" s="65">
        <f>SUM(G2:G32)</f>
        <v>62000</v>
      </c>
      <c r="H33" s="65">
        <v>180000.0</v>
      </c>
      <c r="I33" s="65">
        <f>D33-E33-F33-G33-H33</f>
        <v>640656.6</v>
      </c>
      <c r="J33" s="67">
        <f>SUM(J2:J32)</f>
        <v>31</v>
      </c>
      <c r="K33" s="6"/>
      <c r="L33" s="17"/>
      <c r="M33" s="20">
        <f>SUM(M2:M32)</f>
        <v>1282000</v>
      </c>
      <c r="N33" s="40"/>
      <c r="O33" s="29"/>
      <c r="P33" s="49"/>
      <c r="Q33" s="49"/>
      <c r="R33" s="16"/>
      <c r="S33" s="16"/>
    </row>
    <row r="34">
      <c r="A34" s="6"/>
      <c r="B34" s="68"/>
      <c r="C34" s="49"/>
      <c r="D34" s="49"/>
      <c r="E34" s="16"/>
      <c r="F34" s="69"/>
      <c r="G34" s="54" t="s">
        <v>41</v>
      </c>
      <c r="H34" s="70">
        <v>55000.0</v>
      </c>
      <c r="I34" s="16"/>
      <c r="J34" s="16"/>
      <c r="K34" s="6"/>
      <c r="L34" s="29"/>
      <c r="M34" s="29"/>
      <c r="N34" s="40"/>
      <c r="O34" s="29"/>
      <c r="P34" s="49"/>
      <c r="Q34" s="16"/>
      <c r="R34" s="16"/>
      <c r="S34" s="16"/>
    </row>
    <row r="35">
      <c r="A35" s="6"/>
      <c r="B35" s="68"/>
      <c r="C35" s="49"/>
      <c r="D35" s="49"/>
      <c r="E35" s="49"/>
      <c r="F35" s="69"/>
      <c r="G35" s="55" t="s">
        <v>42</v>
      </c>
      <c r="H35" s="70">
        <v>40000.0</v>
      </c>
      <c r="I35" s="49"/>
      <c r="J35" s="16"/>
      <c r="K35" s="6"/>
      <c r="L35" s="29"/>
      <c r="M35" s="29"/>
      <c r="N35" s="34">
        <f>N11-N29-N34</f>
        <v>1058419.9</v>
      </c>
      <c r="O35" s="6"/>
      <c r="P35" s="49"/>
      <c r="Q35" s="16"/>
      <c r="R35" s="16"/>
      <c r="S35" s="16"/>
    </row>
    <row r="36">
      <c r="A36" s="6"/>
      <c r="B36" s="6"/>
      <c r="C36" s="16"/>
      <c r="D36" s="71">
        <v>200000.0</v>
      </c>
      <c r="E36" s="16"/>
      <c r="F36" s="69"/>
      <c r="G36" s="54" t="s">
        <v>43</v>
      </c>
      <c r="H36" s="70">
        <v>45000.0</v>
      </c>
      <c r="I36" s="16"/>
      <c r="J36" s="16"/>
      <c r="K36" s="6"/>
      <c r="L36" s="6"/>
      <c r="M36" s="6"/>
      <c r="N36" s="6"/>
      <c r="O36" s="6"/>
      <c r="P36" s="54" t="s">
        <v>44</v>
      </c>
      <c r="Q36" s="55">
        <v>40000.0</v>
      </c>
      <c r="R36" s="16"/>
      <c r="S36" s="16"/>
    </row>
    <row r="37">
      <c r="A37" s="6"/>
      <c r="B37" s="6"/>
      <c r="C37" s="16"/>
      <c r="D37" s="16"/>
      <c r="E37" s="16"/>
      <c r="F37" s="69"/>
      <c r="G37" s="54" t="s">
        <v>45</v>
      </c>
      <c r="H37" s="70">
        <v>40000.0</v>
      </c>
      <c r="I37" s="16"/>
      <c r="J37" s="16"/>
      <c r="K37" s="6"/>
      <c r="L37" s="6"/>
      <c r="M37" s="6"/>
      <c r="N37" s="6"/>
      <c r="O37" s="6"/>
      <c r="P37" s="16"/>
      <c r="Q37" s="16"/>
      <c r="R37" s="16"/>
      <c r="S37" s="16"/>
    </row>
    <row r="38">
      <c r="A38" s="6"/>
      <c r="B38" s="6"/>
      <c r="C38" s="16"/>
      <c r="D38" s="16" t="s">
        <v>46</v>
      </c>
      <c r="E38" s="16"/>
      <c r="F38" s="69"/>
      <c r="G38" s="16"/>
      <c r="H38" s="16"/>
      <c r="I38" s="16"/>
      <c r="J38" s="16"/>
      <c r="K38" s="6"/>
      <c r="L38" s="6"/>
      <c r="M38" s="6"/>
      <c r="N38" s="6"/>
      <c r="O38" s="6"/>
      <c r="P38" s="16"/>
      <c r="Q38" s="16"/>
      <c r="R38" s="16"/>
      <c r="S38" s="16"/>
    </row>
    <row r="39">
      <c r="A39" s="6"/>
      <c r="B39" s="6"/>
      <c r="C39" s="6"/>
      <c r="D39" s="6"/>
      <c r="E39" s="6"/>
      <c r="F39" s="72"/>
      <c r="G39" s="6"/>
      <c r="H39" s="6"/>
      <c r="I39" s="6"/>
      <c r="J39" s="6"/>
      <c r="K39" s="6"/>
      <c r="L39" s="6"/>
      <c r="M39" s="6"/>
      <c r="N39" s="6"/>
      <c r="O39" s="6"/>
      <c r="P39" s="16"/>
      <c r="Q39" s="16"/>
      <c r="R39" s="16"/>
      <c r="S39" s="16"/>
    </row>
    <row r="40">
      <c r="A40" s="6"/>
      <c r="B40" s="6"/>
      <c r="C40" s="6"/>
      <c r="D40" s="6"/>
      <c r="E40" s="6"/>
      <c r="F40" s="72"/>
      <c r="G40" s="6"/>
      <c r="H40" s="6"/>
      <c r="I40" s="6"/>
      <c r="J40" s="6"/>
      <c r="K40" s="6"/>
      <c r="L40" s="6"/>
      <c r="M40" s="6"/>
      <c r="N40" s="6"/>
      <c r="O40" s="6"/>
      <c r="P40" s="16"/>
      <c r="Q40" s="16"/>
      <c r="R40" s="16"/>
      <c r="S40" s="16"/>
    </row>
    <row r="41">
      <c r="A41" s="6"/>
      <c r="B41" s="6"/>
      <c r="C41" s="6"/>
      <c r="D41" s="6"/>
      <c r="E41" s="6"/>
      <c r="F41" s="72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>
      <c r="A42" s="6"/>
      <c r="B42" s="6"/>
      <c r="C42" s="6"/>
      <c r="D42" s="6"/>
      <c r="E42" s="6"/>
      <c r="F42" s="72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>
      <c r="A43" s="6"/>
      <c r="B43" s="6"/>
      <c r="C43" s="6"/>
      <c r="D43" s="6"/>
      <c r="E43" s="6"/>
      <c r="F43" s="72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>
      <c r="A49" s="6"/>
      <c r="B49" s="6"/>
      <c r="C49" s="73">
        <v>1.0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88"/>
    <col customWidth="1" min="5" max="5" width="90.13"/>
    <col customWidth="1" min="6" max="7" width="25.25"/>
    <col customWidth="1" min="8" max="8" width="25.63"/>
    <col customWidth="1" min="9" max="9" width="90.38"/>
  </cols>
  <sheetData>
    <row r="3">
      <c r="D3" s="6"/>
      <c r="E3" s="74" t="s">
        <v>47</v>
      </c>
      <c r="F3" s="75" t="s">
        <v>48</v>
      </c>
      <c r="G3" s="75" t="s">
        <v>49</v>
      </c>
      <c r="H3" s="75" t="s">
        <v>50</v>
      </c>
      <c r="I3" s="75" t="s">
        <v>51</v>
      </c>
      <c r="J3" s="6"/>
      <c r="K3" s="6"/>
    </row>
    <row r="4">
      <c r="D4" s="6"/>
      <c r="E4" s="76" t="s">
        <v>52</v>
      </c>
      <c r="F4" s="15">
        <v>5.0</v>
      </c>
      <c r="G4" s="12">
        <v>380.0</v>
      </c>
      <c r="H4" s="77">
        <f t="shared" ref="H4:H70" si="1">F4*G4</f>
        <v>1900</v>
      </c>
      <c r="I4" s="78"/>
      <c r="J4" s="6"/>
      <c r="K4" s="6"/>
    </row>
    <row r="5">
      <c r="D5" s="6"/>
      <c r="E5" s="76" t="s">
        <v>53</v>
      </c>
      <c r="F5" s="15">
        <v>11.0</v>
      </c>
      <c r="G5" s="12">
        <v>1000.0</v>
      </c>
      <c r="H5" s="77">
        <f t="shared" si="1"/>
        <v>11000</v>
      </c>
      <c r="I5" s="78"/>
      <c r="J5" s="6"/>
      <c r="K5" s="6"/>
    </row>
    <row r="6">
      <c r="D6" s="79"/>
      <c r="E6" s="35" t="s">
        <v>54</v>
      </c>
      <c r="F6" s="80">
        <v>3.0</v>
      </c>
      <c r="G6" s="81">
        <v>1000.0</v>
      </c>
      <c r="H6" s="82">
        <f t="shared" si="1"/>
        <v>3000</v>
      </c>
      <c r="I6" s="83"/>
      <c r="J6" s="6"/>
      <c r="K6" s="6"/>
    </row>
    <row r="7">
      <c r="D7" s="6"/>
      <c r="E7" s="76" t="s">
        <v>55</v>
      </c>
      <c r="F7" s="84">
        <v>1.0</v>
      </c>
      <c r="G7" s="11">
        <v>2000.0</v>
      </c>
      <c r="H7" s="85">
        <f t="shared" si="1"/>
        <v>2000</v>
      </c>
      <c r="I7" s="78"/>
      <c r="J7" s="6"/>
      <c r="K7" s="6"/>
    </row>
    <row r="8">
      <c r="D8" s="6"/>
      <c r="E8" s="76" t="s">
        <v>56</v>
      </c>
      <c r="F8" s="15">
        <v>8.0</v>
      </c>
      <c r="G8" s="11">
        <v>850.0</v>
      </c>
      <c r="H8" s="77">
        <f t="shared" si="1"/>
        <v>6800</v>
      </c>
      <c r="I8" s="78"/>
      <c r="J8" s="6"/>
      <c r="K8" s="6"/>
    </row>
    <row r="9">
      <c r="D9" s="6"/>
      <c r="E9" s="76" t="s">
        <v>57</v>
      </c>
      <c r="F9" s="15">
        <v>3.0</v>
      </c>
      <c r="G9" s="11">
        <v>950.0</v>
      </c>
      <c r="H9" s="77">
        <f t="shared" si="1"/>
        <v>2850</v>
      </c>
      <c r="I9" s="78"/>
      <c r="J9" s="6"/>
      <c r="K9" s="6"/>
    </row>
    <row r="10">
      <c r="D10" s="6"/>
      <c r="E10" s="86" t="s">
        <v>58</v>
      </c>
      <c r="F10" s="87">
        <v>4.0</v>
      </c>
      <c r="G10" s="88">
        <v>450.0</v>
      </c>
      <c r="H10" s="77">
        <f t="shared" si="1"/>
        <v>1800</v>
      </c>
      <c r="I10" s="78"/>
      <c r="J10" s="6"/>
      <c r="K10" s="6"/>
    </row>
    <row r="11">
      <c r="D11" s="6"/>
      <c r="E11" s="9" t="s">
        <v>59</v>
      </c>
      <c r="F11" s="15">
        <v>4.0</v>
      </c>
      <c r="G11" s="12">
        <v>415.0</v>
      </c>
      <c r="H11" s="77">
        <f t="shared" si="1"/>
        <v>1660</v>
      </c>
      <c r="I11" s="78"/>
      <c r="J11" s="6"/>
      <c r="K11" s="6"/>
    </row>
    <row r="12">
      <c r="D12" s="6"/>
      <c r="E12" s="76" t="s">
        <v>60</v>
      </c>
      <c r="F12" s="15">
        <v>48.0</v>
      </c>
      <c r="G12" s="12">
        <v>600.0</v>
      </c>
      <c r="H12" s="77">
        <f t="shared" si="1"/>
        <v>28800</v>
      </c>
      <c r="I12" s="78"/>
      <c r="J12" s="6"/>
      <c r="K12" s="6"/>
    </row>
    <row r="13">
      <c r="D13" s="6"/>
      <c r="E13" s="76" t="s">
        <v>61</v>
      </c>
      <c r="F13" s="15">
        <v>5.0</v>
      </c>
      <c r="G13" s="12">
        <v>255.0</v>
      </c>
      <c r="H13" s="77">
        <f t="shared" si="1"/>
        <v>1275</v>
      </c>
      <c r="I13" s="78"/>
      <c r="J13" s="6"/>
      <c r="K13" s="6"/>
    </row>
    <row r="14">
      <c r="D14" s="6"/>
      <c r="E14" s="76" t="s">
        <v>62</v>
      </c>
      <c r="F14" s="15">
        <v>15.0</v>
      </c>
      <c r="G14" s="12">
        <v>255.0</v>
      </c>
      <c r="H14" s="77">
        <f t="shared" si="1"/>
        <v>3825</v>
      </c>
      <c r="I14" s="78"/>
      <c r="J14" s="6"/>
      <c r="K14" s="6"/>
    </row>
    <row r="15">
      <c r="D15" s="6"/>
      <c r="E15" s="9" t="s">
        <v>63</v>
      </c>
      <c r="F15" s="15">
        <v>13.0</v>
      </c>
      <c r="G15" s="12">
        <v>280.0</v>
      </c>
      <c r="H15" s="77">
        <f t="shared" si="1"/>
        <v>3640</v>
      </c>
      <c r="I15" s="78"/>
      <c r="J15" s="6"/>
      <c r="K15" s="6"/>
    </row>
    <row r="16">
      <c r="D16" s="6"/>
      <c r="E16" s="15" t="s">
        <v>64</v>
      </c>
      <c r="F16" s="15">
        <v>4.0</v>
      </c>
      <c r="G16" s="12">
        <v>255.0</v>
      </c>
      <c r="H16" s="77">
        <f t="shared" si="1"/>
        <v>1020</v>
      </c>
      <c r="I16" s="78"/>
      <c r="J16" s="6"/>
      <c r="K16" s="6"/>
    </row>
    <row r="17">
      <c r="D17" s="6"/>
      <c r="E17" s="76" t="s">
        <v>65</v>
      </c>
      <c r="F17" s="15">
        <v>0.5</v>
      </c>
      <c r="G17" s="12">
        <v>2000.0</v>
      </c>
      <c r="H17" s="77">
        <f t="shared" si="1"/>
        <v>1000</v>
      </c>
      <c r="I17" s="78"/>
      <c r="J17" s="6"/>
      <c r="K17" s="6"/>
    </row>
    <row r="18">
      <c r="D18" s="6"/>
      <c r="E18" s="76" t="s">
        <v>66</v>
      </c>
      <c r="F18" s="15">
        <v>34.0</v>
      </c>
      <c r="G18" s="12">
        <v>176.0</v>
      </c>
      <c r="H18" s="77">
        <f t="shared" si="1"/>
        <v>5984</v>
      </c>
      <c r="I18" s="78"/>
      <c r="J18" s="6"/>
      <c r="K18" s="6"/>
    </row>
    <row r="19">
      <c r="D19" s="6"/>
      <c r="E19" s="89" t="s">
        <v>67</v>
      </c>
      <c r="F19" s="90">
        <v>26.0</v>
      </c>
      <c r="G19" s="63">
        <v>100.0</v>
      </c>
      <c r="H19" s="77">
        <f t="shared" si="1"/>
        <v>2600</v>
      </c>
      <c r="I19" s="78"/>
      <c r="J19" s="6"/>
      <c r="K19" s="6"/>
    </row>
    <row r="20">
      <c r="D20" s="6"/>
      <c r="E20" s="89" t="s">
        <v>68</v>
      </c>
      <c r="F20" s="90">
        <v>3.0</v>
      </c>
      <c r="G20" s="63">
        <v>154.0</v>
      </c>
      <c r="H20" s="77">
        <f t="shared" si="1"/>
        <v>462</v>
      </c>
      <c r="I20" s="78"/>
      <c r="J20" s="6"/>
      <c r="K20" s="6"/>
    </row>
    <row r="21">
      <c r="D21" s="6"/>
      <c r="E21" s="76" t="s">
        <v>69</v>
      </c>
      <c r="F21" s="15">
        <v>0.55</v>
      </c>
      <c r="G21" s="11">
        <v>5500.0</v>
      </c>
      <c r="H21" s="77">
        <f t="shared" si="1"/>
        <v>3025</v>
      </c>
      <c r="I21" s="78"/>
      <c r="J21" s="6"/>
      <c r="K21" s="6"/>
    </row>
    <row r="22">
      <c r="D22" s="6"/>
      <c r="E22" s="89" t="s">
        <v>70</v>
      </c>
      <c r="F22" s="90">
        <v>7.0</v>
      </c>
      <c r="G22" s="91">
        <v>430.0</v>
      </c>
      <c r="H22" s="85">
        <f t="shared" si="1"/>
        <v>3010</v>
      </c>
      <c r="I22" s="78"/>
      <c r="J22" s="6"/>
      <c r="K22" s="6"/>
    </row>
    <row r="23">
      <c r="D23" s="6"/>
      <c r="E23" s="76" t="s">
        <v>71</v>
      </c>
      <c r="F23" s="15">
        <v>5.0</v>
      </c>
      <c r="G23" s="11">
        <v>810.0</v>
      </c>
      <c r="H23" s="77">
        <f t="shared" si="1"/>
        <v>4050</v>
      </c>
      <c r="I23" s="78"/>
      <c r="J23" s="6"/>
      <c r="K23" s="6"/>
    </row>
    <row r="24">
      <c r="D24" s="6"/>
      <c r="E24" s="76" t="s">
        <v>72</v>
      </c>
      <c r="F24" s="76">
        <v>2.0</v>
      </c>
      <c r="G24" s="11">
        <v>80.0</v>
      </c>
      <c r="H24" s="85">
        <f t="shared" si="1"/>
        <v>160</v>
      </c>
      <c r="I24" s="78"/>
      <c r="J24" s="6"/>
      <c r="K24" s="6"/>
    </row>
    <row r="25">
      <c r="D25" s="6"/>
      <c r="E25" s="76" t="s">
        <v>73</v>
      </c>
      <c r="F25" s="76">
        <v>1.0</v>
      </c>
      <c r="G25" s="11">
        <v>220.0</v>
      </c>
      <c r="H25" s="85">
        <f t="shared" si="1"/>
        <v>220</v>
      </c>
      <c r="I25" s="78"/>
      <c r="J25" s="6"/>
      <c r="K25" s="6"/>
    </row>
    <row r="26">
      <c r="D26" s="6"/>
      <c r="E26" s="76" t="s">
        <v>74</v>
      </c>
      <c r="F26" s="76">
        <v>6.0</v>
      </c>
      <c r="G26" s="11">
        <v>350.0</v>
      </c>
      <c r="H26" s="85">
        <f t="shared" si="1"/>
        <v>2100</v>
      </c>
      <c r="I26" s="78"/>
      <c r="J26" s="6"/>
      <c r="K26" s="6"/>
    </row>
    <row r="27">
      <c r="D27" s="6"/>
      <c r="E27" s="76" t="s">
        <v>75</v>
      </c>
      <c r="F27" s="15">
        <v>60.0</v>
      </c>
      <c r="G27" s="11">
        <v>80.0</v>
      </c>
      <c r="H27" s="85">
        <f t="shared" si="1"/>
        <v>4800</v>
      </c>
      <c r="I27" s="78"/>
      <c r="J27" s="6"/>
      <c r="K27" s="6"/>
    </row>
    <row r="28">
      <c r="D28" s="6"/>
      <c r="E28" s="76" t="s">
        <v>76</v>
      </c>
      <c r="F28" s="15">
        <v>3.5</v>
      </c>
      <c r="G28" s="12">
        <v>680.0</v>
      </c>
      <c r="H28" s="85">
        <f t="shared" si="1"/>
        <v>2380</v>
      </c>
      <c r="I28" s="78"/>
      <c r="J28" s="6"/>
      <c r="K28" s="6"/>
    </row>
    <row r="29">
      <c r="D29" s="6"/>
      <c r="E29" s="76" t="s">
        <v>77</v>
      </c>
      <c r="F29" s="15">
        <v>3.0</v>
      </c>
      <c r="G29" s="11">
        <v>450.0</v>
      </c>
      <c r="H29" s="85">
        <f t="shared" si="1"/>
        <v>1350</v>
      </c>
      <c r="I29" s="78"/>
      <c r="J29" s="6"/>
      <c r="K29" s="6"/>
    </row>
    <row r="30">
      <c r="D30" s="6"/>
      <c r="E30" s="76" t="s">
        <v>78</v>
      </c>
      <c r="F30" s="15">
        <v>9.0</v>
      </c>
      <c r="G30" s="11">
        <v>1100.0</v>
      </c>
      <c r="H30" s="85">
        <f t="shared" si="1"/>
        <v>9900</v>
      </c>
      <c r="I30" s="78"/>
      <c r="J30" s="6"/>
      <c r="K30" s="6"/>
    </row>
    <row r="31">
      <c r="D31" s="6"/>
      <c r="E31" s="15" t="s">
        <v>79</v>
      </c>
      <c r="F31" s="76">
        <v>10.0</v>
      </c>
      <c r="G31" s="11">
        <v>280.0</v>
      </c>
      <c r="H31" s="85">
        <f t="shared" si="1"/>
        <v>2800</v>
      </c>
      <c r="I31" s="78"/>
      <c r="J31" s="6"/>
      <c r="K31" s="6"/>
    </row>
    <row r="32">
      <c r="D32" s="6"/>
      <c r="E32" s="76" t="s">
        <v>80</v>
      </c>
      <c r="F32" s="15">
        <v>15.0</v>
      </c>
      <c r="G32" s="11">
        <v>99.0</v>
      </c>
      <c r="H32" s="85">
        <f t="shared" si="1"/>
        <v>1485</v>
      </c>
      <c r="I32" s="78"/>
      <c r="J32" s="6"/>
      <c r="K32" s="6"/>
    </row>
    <row r="33">
      <c r="D33" s="6"/>
      <c r="E33" s="76" t="s">
        <v>81</v>
      </c>
      <c r="F33" s="15">
        <v>2.0</v>
      </c>
      <c r="G33" s="11">
        <v>2220.0</v>
      </c>
      <c r="H33" s="85">
        <f t="shared" si="1"/>
        <v>4440</v>
      </c>
      <c r="I33" s="78"/>
      <c r="J33" s="6"/>
      <c r="K33" s="6"/>
    </row>
    <row r="34">
      <c r="D34" s="6"/>
      <c r="E34" s="76" t="s">
        <v>82</v>
      </c>
      <c r="F34" s="76">
        <v>1.0</v>
      </c>
      <c r="G34" s="11">
        <v>800.0</v>
      </c>
      <c r="H34" s="85">
        <f t="shared" si="1"/>
        <v>800</v>
      </c>
      <c r="I34" s="78"/>
      <c r="J34" s="6"/>
      <c r="K34" s="6"/>
    </row>
    <row r="35">
      <c r="D35" s="6"/>
      <c r="E35" s="76" t="s">
        <v>83</v>
      </c>
      <c r="F35" s="76">
        <v>1.0</v>
      </c>
      <c r="G35" s="11">
        <v>1200.0</v>
      </c>
      <c r="H35" s="85">
        <f t="shared" si="1"/>
        <v>1200</v>
      </c>
      <c r="I35" s="78"/>
      <c r="J35" s="6"/>
      <c r="K35" s="6"/>
    </row>
    <row r="36">
      <c r="D36" s="6"/>
      <c r="E36" s="76" t="s">
        <v>84</v>
      </c>
      <c r="F36" s="15">
        <v>2.0</v>
      </c>
      <c r="G36" s="11">
        <v>30.0</v>
      </c>
      <c r="H36" s="77">
        <f t="shared" si="1"/>
        <v>60</v>
      </c>
      <c r="I36" s="78"/>
      <c r="J36" s="6"/>
      <c r="K36" s="6"/>
    </row>
    <row r="37">
      <c r="D37" s="92" t="s">
        <v>85</v>
      </c>
      <c r="E37" s="76" t="s">
        <v>86</v>
      </c>
      <c r="F37" s="15">
        <v>174.0</v>
      </c>
      <c r="G37" s="11">
        <v>17.0</v>
      </c>
      <c r="H37" s="85">
        <f t="shared" si="1"/>
        <v>2958</v>
      </c>
      <c r="I37" s="78"/>
      <c r="J37" s="6"/>
      <c r="K37" s="6"/>
    </row>
    <row r="38">
      <c r="E38" s="76" t="s">
        <v>87</v>
      </c>
      <c r="F38" s="15">
        <v>83.0</v>
      </c>
      <c r="G38" s="11">
        <v>35.0</v>
      </c>
      <c r="H38" s="85">
        <f t="shared" si="1"/>
        <v>2905</v>
      </c>
      <c r="I38" s="78"/>
      <c r="J38" s="6"/>
      <c r="K38" s="6"/>
    </row>
    <row r="39">
      <c r="E39" s="89" t="s">
        <v>88</v>
      </c>
      <c r="F39" s="90">
        <v>54.0</v>
      </c>
      <c r="G39" s="93">
        <v>57.0</v>
      </c>
      <c r="H39" s="77">
        <f t="shared" si="1"/>
        <v>3078</v>
      </c>
      <c r="I39" s="78"/>
      <c r="J39" s="6"/>
      <c r="K39" s="6"/>
    </row>
    <row r="40">
      <c r="E40" s="89" t="s">
        <v>89</v>
      </c>
      <c r="F40" s="90">
        <v>46.0</v>
      </c>
      <c r="G40" s="91">
        <v>45.0</v>
      </c>
      <c r="H40" s="85">
        <f t="shared" si="1"/>
        <v>2070</v>
      </c>
      <c r="I40" s="78"/>
      <c r="J40" s="6"/>
      <c r="K40" s="6"/>
    </row>
    <row r="41">
      <c r="E41" s="94" t="s">
        <v>90</v>
      </c>
      <c r="F41" s="95">
        <v>30.0</v>
      </c>
      <c r="G41" s="96">
        <v>34.0</v>
      </c>
      <c r="H41" s="97">
        <f t="shared" si="1"/>
        <v>1020</v>
      </c>
      <c r="I41" s="78"/>
      <c r="J41" s="6"/>
      <c r="K41" s="6"/>
    </row>
    <row r="42">
      <c r="E42" s="94" t="s">
        <v>91</v>
      </c>
      <c r="F42" s="95">
        <v>20.0</v>
      </c>
      <c r="G42" s="96">
        <v>52.0</v>
      </c>
      <c r="H42" s="97">
        <f t="shared" si="1"/>
        <v>1040</v>
      </c>
      <c r="I42" s="78"/>
      <c r="J42" s="6"/>
      <c r="K42" s="6"/>
    </row>
    <row r="43">
      <c r="E43" s="94" t="s">
        <v>92</v>
      </c>
      <c r="F43" s="95">
        <v>3.0</v>
      </c>
      <c r="G43" s="96">
        <v>52.0</v>
      </c>
      <c r="H43" s="97">
        <f t="shared" si="1"/>
        <v>156</v>
      </c>
      <c r="I43" s="78"/>
      <c r="J43" s="6"/>
      <c r="K43" s="6"/>
    </row>
    <row r="44">
      <c r="E44" s="94" t="s">
        <v>93</v>
      </c>
      <c r="F44" s="95">
        <v>10.0</v>
      </c>
      <c r="G44" s="96">
        <v>72.0</v>
      </c>
      <c r="H44" s="97">
        <f t="shared" si="1"/>
        <v>720</v>
      </c>
      <c r="I44" s="78"/>
      <c r="J44" s="6"/>
      <c r="K44" s="6"/>
    </row>
    <row r="45">
      <c r="E45" s="95" t="s">
        <v>94</v>
      </c>
      <c r="F45" s="95">
        <v>85.0</v>
      </c>
      <c r="G45" s="98">
        <v>44.0</v>
      </c>
      <c r="H45" s="97">
        <f t="shared" si="1"/>
        <v>3740</v>
      </c>
      <c r="I45" s="99">
        <v>45785.0</v>
      </c>
      <c r="J45" s="6"/>
      <c r="K45" s="6"/>
    </row>
    <row r="46">
      <c r="E46" s="95" t="s">
        <v>93</v>
      </c>
      <c r="F46" s="95">
        <v>13.0</v>
      </c>
      <c r="G46" s="98">
        <v>72.0</v>
      </c>
      <c r="H46" s="97">
        <f t="shared" si="1"/>
        <v>936</v>
      </c>
      <c r="I46" s="100"/>
      <c r="J46" s="6"/>
      <c r="K46" s="6"/>
    </row>
    <row r="47">
      <c r="E47" s="95" t="s">
        <v>95</v>
      </c>
      <c r="F47" s="95">
        <v>6.0</v>
      </c>
      <c r="G47" s="98">
        <v>50.0</v>
      </c>
      <c r="H47" s="97">
        <f t="shared" si="1"/>
        <v>300</v>
      </c>
      <c r="I47" s="101"/>
      <c r="J47" s="6"/>
      <c r="K47" s="6"/>
    </row>
    <row r="48">
      <c r="E48" s="95" t="s">
        <v>96</v>
      </c>
      <c r="F48" s="95">
        <v>6.0</v>
      </c>
      <c r="G48" s="98">
        <v>66.0</v>
      </c>
      <c r="H48" s="97">
        <f t="shared" si="1"/>
        <v>396</v>
      </c>
      <c r="I48" s="102"/>
      <c r="J48" s="6"/>
      <c r="K48" s="6"/>
    </row>
    <row r="49">
      <c r="D49" s="6"/>
      <c r="E49" s="94" t="s">
        <v>90</v>
      </c>
      <c r="F49" s="95">
        <v>20.0</v>
      </c>
      <c r="G49" s="96">
        <v>34.0</v>
      </c>
      <c r="H49" s="97">
        <f t="shared" si="1"/>
        <v>680</v>
      </c>
      <c r="I49" s="78"/>
      <c r="J49" s="6"/>
      <c r="K49" s="6"/>
    </row>
    <row r="50">
      <c r="D50" s="6"/>
      <c r="E50" s="94" t="s">
        <v>97</v>
      </c>
      <c r="F50" s="95">
        <v>0.2</v>
      </c>
      <c r="G50" s="96">
        <v>900.0</v>
      </c>
      <c r="H50" s="97">
        <f t="shared" si="1"/>
        <v>180</v>
      </c>
      <c r="I50" s="78"/>
      <c r="J50" s="6"/>
      <c r="K50" s="6"/>
    </row>
    <row r="51">
      <c r="D51" s="6"/>
      <c r="E51" s="89" t="s">
        <v>98</v>
      </c>
      <c r="F51" s="89">
        <v>1.0</v>
      </c>
      <c r="G51" s="91">
        <v>625.0</v>
      </c>
      <c r="H51" s="85">
        <f t="shared" si="1"/>
        <v>625</v>
      </c>
      <c r="I51" s="78"/>
      <c r="J51" s="6"/>
      <c r="K51" s="6"/>
    </row>
    <row r="52">
      <c r="D52" s="6"/>
      <c r="E52" s="76" t="s">
        <v>99</v>
      </c>
      <c r="F52" s="15">
        <v>14.0</v>
      </c>
      <c r="G52" s="11">
        <v>195.0</v>
      </c>
      <c r="H52" s="85">
        <f t="shared" si="1"/>
        <v>2730</v>
      </c>
      <c r="I52" s="78"/>
      <c r="J52" s="6"/>
      <c r="K52" s="6"/>
    </row>
    <row r="53">
      <c r="D53" s="6"/>
      <c r="E53" s="89" t="s">
        <v>100</v>
      </c>
      <c r="F53" s="90">
        <v>12.0</v>
      </c>
      <c r="G53" s="91">
        <v>90.0</v>
      </c>
      <c r="H53" s="85">
        <f t="shared" si="1"/>
        <v>1080</v>
      </c>
      <c r="I53" s="78"/>
      <c r="J53" s="6"/>
      <c r="K53" s="6"/>
    </row>
    <row r="54">
      <c r="D54" s="6"/>
      <c r="E54" s="76" t="s">
        <v>101</v>
      </c>
      <c r="F54" s="15">
        <v>4.0</v>
      </c>
      <c r="G54" s="11">
        <v>1700.0</v>
      </c>
      <c r="H54" s="85">
        <f t="shared" si="1"/>
        <v>6800</v>
      </c>
      <c r="I54" s="78"/>
      <c r="J54" s="6"/>
      <c r="K54" s="6"/>
    </row>
    <row r="55">
      <c r="D55" s="6"/>
      <c r="E55" s="76" t="s">
        <v>102</v>
      </c>
      <c r="F55" s="76">
        <v>1.0</v>
      </c>
      <c r="G55" s="11">
        <v>2150.0</v>
      </c>
      <c r="H55" s="85">
        <f t="shared" si="1"/>
        <v>2150</v>
      </c>
      <c r="I55" s="78"/>
      <c r="J55" s="6"/>
      <c r="K55" s="6"/>
    </row>
    <row r="56">
      <c r="D56" s="6"/>
      <c r="E56" s="76" t="s">
        <v>103</v>
      </c>
      <c r="F56" s="15">
        <v>5.0</v>
      </c>
      <c r="G56" s="11">
        <v>1800.0</v>
      </c>
      <c r="H56" s="85">
        <f t="shared" si="1"/>
        <v>9000</v>
      </c>
      <c r="I56" s="78"/>
      <c r="J56" s="6"/>
      <c r="K56" s="6"/>
    </row>
    <row r="57">
      <c r="D57" s="6"/>
      <c r="E57" s="76" t="s">
        <v>104</v>
      </c>
      <c r="F57" s="15">
        <v>11.0</v>
      </c>
      <c r="G57" s="11">
        <v>2420.0</v>
      </c>
      <c r="H57" s="85">
        <f t="shared" si="1"/>
        <v>26620</v>
      </c>
      <c r="I57" s="78"/>
      <c r="J57" s="6"/>
      <c r="K57" s="6"/>
    </row>
    <row r="58">
      <c r="D58" s="6"/>
      <c r="E58" s="76" t="s">
        <v>105</v>
      </c>
      <c r="F58" s="15">
        <v>80.0</v>
      </c>
      <c r="G58" s="11">
        <v>84.0</v>
      </c>
      <c r="H58" s="85">
        <f t="shared" si="1"/>
        <v>6720</v>
      </c>
      <c r="I58" s="78"/>
      <c r="J58" s="6"/>
      <c r="K58" s="6"/>
    </row>
    <row r="59">
      <c r="D59" s="6"/>
      <c r="E59" s="76" t="s">
        <v>106</v>
      </c>
      <c r="F59" s="15">
        <v>15.0</v>
      </c>
      <c r="G59" s="12">
        <v>35.0</v>
      </c>
      <c r="H59" s="85">
        <f t="shared" si="1"/>
        <v>525</v>
      </c>
      <c r="I59" s="78"/>
      <c r="J59" s="6"/>
      <c r="K59" s="6"/>
    </row>
    <row r="60">
      <c r="D60" s="6"/>
      <c r="E60" s="76" t="s">
        <v>107</v>
      </c>
      <c r="F60" s="15">
        <v>8.0</v>
      </c>
      <c r="G60" s="11">
        <v>950.0</v>
      </c>
      <c r="H60" s="85">
        <f t="shared" si="1"/>
        <v>7600</v>
      </c>
      <c r="I60" s="78"/>
      <c r="J60" s="6"/>
      <c r="K60" s="6"/>
    </row>
    <row r="61">
      <c r="D61" s="6"/>
      <c r="E61" s="76" t="s">
        <v>108</v>
      </c>
      <c r="F61" s="15">
        <v>0.5</v>
      </c>
      <c r="G61" s="11">
        <v>1150.0</v>
      </c>
      <c r="H61" s="85">
        <f t="shared" si="1"/>
        <v>575</v>
      </c>
      <c r="I61" s="78"/>
      <c r="J61" s="6"/>
      <c r="K61" s="6"/>
    </row>
    <row r="62">
      <c r="D62" s="6"/>
      <c r="E62" s="76" t="s">
        <v>109</v>
      </c>
      <c r="F62" s="15">
        <v>0.25</v>
      </c>
      <c r="G62" s="11">
        <v>780.0</v>
      </c>
      <c r="H62" s="85">
        <f t="shared" si="1"/>
        <v>195</v>
      </c>
      <c r="I62" s="78"/>
      <c r="J62" s="6"/>
      <c r="K62" s="6"/>
    </row>
    <row r="63">
      <c r="D63" s="6"/>
      <c r="E63" s="76" t="s">
        <v>110</v>
      </c>
      <c r="F63" s="15">
        <v>0.3</v>
      </c>
      <c r="G63" s="11">
        <v>950.0</v>
      </c>
      <c r="H63" s="85">
        <f t="shared" si="1"/>
        <v>285</v>
      </c>
      <c r="I63" s="78"/>
      <c r="J63" s="6"/>
      <c r="K63" s="6"/>
    </row>
    <row r="64">
      <c r="D64" s="6"/>
      <c r="E64" s="76" t="s">
        <v>111</v>
      </c>
      <c r="F64" s="76">
        <v>12.0</v>
      </c>
      <c r="G64" s="11">
        <v>425.0</v>
      </c>
      <c r="H64" s="85">
        <f t="shared" si="1"/>
        <v>5100</v>
      </c>
      <c r="I64" s="78"/>
      <c r="J64" s="6"/>
      <c r="K64" s="6"/>
    </row>
    <row r="65">
      <c r="D65" s="6"/>
      <c r="E65" s="76" t="s">
        <v>112</v>
      </c>
      <c r="F65" s="15">
        <v>7.0</v>
      </c>
      <c r="G65" s="11">
        <v>120.0</v>
      </c>
      <c r="H65" s="85">
        <f t="shared" si="1"/>
        <v>840</v>
      </c>
      <c r="I65" s="78"/>
      <c r="J65" s="6"/>
      <c r="K65" s="6"/>
    </row>
    <row r="66">
      <c r="D66" s="6"/>
      <c r="E66" s="76" t="s">
        <v>113</v>
      </c>
      <c r="F66" s="15">
        <v>4.0</v>
      </c>
      <c r="G66" s="11">
        <v>65.0</v>
      </c>
      <c r="H66" s="85">
        <f t="shared" si="1"/>
        <v>260</v>
      </c>
      <c r="I66" s="78"/>
      <c r="J66" s="6"/>
      <c r="K66" s="6"/>
    </row>
    <row r="67">
      <c r="D67" s="6"/>
      <c r="E67" s="76" t="s">
        <v>114</v>
      </c>
      <c r="F67" s="15">
        <v>9.0</v>
      </c>
      <c r="G67" s="11">
        <v>240.0</v>
      </c>
      <c r="H67" s="85">
        <f t="shared" si="1"/>
        <v>2160</v>
      </c>
      <c r="I67" s="78"/>
      <c r="J67" s="6"/>
      <c r="K67" s="6"/>
    </row>
    <row r="68">
      <c r="D68" s="6"/>
      <c r="E68" s="76" t="s">
        <v>115</v>
      </c>
      <c r="F68" s="15">
        <v>2.0</v>
      </c>
      <c r="G68" s="12">
        <v>1350.0</v>
      </c>
      <c r="H68" s="85">
        <f t="shared" si="1"/>
        <v>2700</v>
      </c>
      <c r="I68" s="78"/>
      <c r="J68" s="6"/>
      <c r="K68" s="6"/>
    </row>
    <row r="69">
      <c r="D69" s="6"/>
      <c r="E69" s="89" t="s">
        <v>116</v>
      </c>
      <c r="F69" s="90">
        <v>5.0</v>
      </c>
      <c r="G69" s="91">
        <v>145.0</v>
      </c>
      <c r="H69" s="85">
        <f t="shared" si="1"/>
        <v>725</v>
      </c>
      <c r="I69" s="78"/>
      <c r="J69" s="6"/>
      <c r="K69" s="6"/>
    </row>
    <row r="70">
      <c r="D70" s="6"/>
      <c r="E70" s="89" t="s">
        <v>117</v>
      </c>
      <c r="F70" s="90">
        <v>1.0</v>
      </c>
      <c r="G70" s="91">
        <v>1200.0</v>
      </c>
      <c r="H70" s="85">
        <f t="shared" si="1"/>
        <v>1200</v>
      </c>
      <c r="I70" s="78"/>
      <c r="J70" s="6"/>
      <c r="K70" s="6"/>
    </row>
    <row r="71">
      <c r="D71" s="6"/>
      <c r="E71" s="90" t="s">
        <v>118</v>
      </c>
      <c r="F71" s="90">
        <v>1.0</v>
      </c>
      <c r="G71" s="63">
        <v>1200.0</v>
      </c>
      <c r="H71" s="103">
        <v>1200.0</v>
      </c>
      <c r="I71" s="78"/>
      <c r="J71" s="6"/>
      <c r="K71" s="6"/>
    </row>
    <row r="72">
      <c r="D72" s="6"/>
      <c r="E72" s="89" t="s">
        <v>119</v>
      </c>
      <c r="F72" s="90">
        <v>3.0</v>
      </c>
      <c r="G72" s="91">
        <v>1320.0</v>
      </c>
      <c r="H72" s="85">
        <f t="shared" ref="H72:H201" si="2">F72*G72</f>
        <v>3960</v>
      </c>
      <c r="I72" s="78"/>
      <c r="J72" s="6"/>
      <c r="K72" s="6"/>
    </row>
    <row r="73">
      <c r="D73" s="6"/>
      <c r="E73" s="76" t="s">
        <v>120</v>
      </c>
      <c r="F73" s="76">
        <v>1.0</v>
      </c>
      <c r="G73" s="11">
        <v>800.0</v>
      </c>
      <c r="H73" s="77">
        <f t="shared" si="2"/>
        <v>800</v>
      </c>
      <c r="I73" s="78"/>
      <c r="J73" s="6"/>
      <c r="K73" s="6"/>
    </row>
    <row r="74">
      <c r="D74" s="6"/>
      <c r="E74" s="90" t="s">
        <v>121</v>
      </c>
      <c r="F74" s="90">
        <v>10.0</v>
      </c>
      <c r="G74" s="63">
        <v>180.0</v>
      </c>
      <c r="H74" s="77">
        <f t="shared" si="2"/>
        <v>1800</v>
      </c>
      <c r="I74" s="78"/>
      <c r="J74" s="6"/>
      <c r="K74" s="6"/>
    </row>
    <row r="75">
      <c r="D75" s="6"/>
      <c r="E75" s="15" t="s">
        <v>122</v>
      </c>
      <c r="F75" s="15">
        <v>10.0</v>
      </c>
      <c r="G75" s="12">
        <v>120.0</v>
      </c>
      <c r="H75" s="77">
        <f t="shared" si="2"/>
        <v>1200</v>
      </c>
      <c r="I75" s="78"/>
      <c r="J75" s="6"/>
      <c r="K75" s="6"/>
    </row>
    <row r="76">
      <c r="D76" s="6"/>
      <c r="E76" s="90" t="s">
        <v>123</v>
      </c>
      <c r="F76" s="90">
        <v>3.0</v>
      </c>
      <c r="G76" s="63">
        <v>100.0</v>
      </c>
      <c r="H76" s="77">
        <f t="shared" si="2"/>
        <v>300</v>
      </c>
      <c r="I76" s="78"/>
      <c r="J76" s="6"/>
      <c r="K76" s="6"/>
    </row>
    <row r="77">
      <c r="D77" s="6"/>
      <c r="E77" s="90" t="s">
        <v>124</v>
      </c>
      <c r="F77" s="90">
        <v>2.0</v>
      </c>
      <c r="G77" s="63">
        <v>650.0</v>
      </c>
      <c r="H77" s="77">
        <f t="shared" si="2"/>
        <v>1300</v>
      </c>
      <c r="I77" s="78"/>
      <c r="J77" s="6"/>
      <c r="K77" s="6"/>
    </row>
    <row r="78">
      <c r="D78" s="6"/>
      <c r="E78" s="90" t="s">
        <v>122</v>
      </c>
      <c r="F78" s="90">
        <v>15.0</v>
      </c>
      <c r="G78" s="63">
        <v>120.0</v>
      </c>
      <c r="H78" s="77">
        <f t="shared" si="2"/>
        <v>1800</v>
      </c>
      <c r="I78" s="78"/>
      <c r="J78" s="6"/>
      <c r="K78" s="6"/>
    </row>
    <row r="79">
      <c r="D79" s="6"/>
      <c r="E79" s="90" t="s">
        <v>125</v>
      </c>
      <c r="F79" s="90">
        <v>3.0</v>
      </c>
      <c r="G79" s="63">
        <v>230.0</v>
      </c>
      <c r="H79" s="77">
        <f t="shared" si="2"/>
        <v>690</v>
      </c>
      <c r="I79" s="78"/>
      <c r="J79" s="6"/>
      <c r="K79" s="6"/>
    </row>
    <row r="80">
      <c r="D80" s="6"/>
      <c r="E80" s="90" t="s">
        <v>112</v>
      </c>
      <c r="F80" s="90">
        <v>4.0</v>
      </c>
      <c r="G80" s="63">
        <v>150.0</v>
      </c>
      <c r="H80" s="77">
        <f t="shared" si="2"/>
        <v>600</v>
      </c>
      <c r="I80" s="78"/>
      <c r="J80" s="6"/>
      <c r="K80" s="6"/>
    </row>
    <row r="81">
      <c r="D81" s="6"/>
      <c r="E81" s="90" t="s">
        <v>126</v>
      </c>
      <c r="F81" s="90">
        <v>10.0</v>
      </c>
      <c r="G81" s="63">
        <v>100.0</v>
      </c>
      <c r="H81" s="77">
        <f t="shared" si="2"/>
        <v>1000</v>
      </c>
      <c r="I81" s="78"/>
      <c r="J81" s="6"/>
      <c r="K81" s="6"/>
    </row>
    <row r="82">
      <c r="D82" s="6"/>
      <c r="E82" s="90" t="s">
        <v>122</v>
      </c>
      <c r="F82" s="90">
        <v>2.0</v>
      </c>
      <c r="G82" s="63">
        <v>150.0</v>
      </c>
      <c r="H82" s="77">
        <f t="shared" si="2"/>
        <v>300</v>
      </c>
      <c r="I82" s="78"/>
      <c r="J82" s="6"/>
      <c r="K82" s="6"/>
    </row>
    <row r="83">
      <c r="D83" s="6"/>
      <c r="E83" s="90" t="s">
        <v>127</v>
      </c>
      <c r="F83" s="90">
        <v>1.0</v>
      </c>
      <c r="G83" s="63">
        <v>200.0</v>
      </c>
      <c r="H83" s="77">
        <f t="shared" si="2"/>
        <v>200</v>
      </c>
      <c r="I83" s="78"/>
      <c r="J83" s="6"/>
      <c r="K83" s="6"/>
    </row>
    <row r="84">
      <c r="D84" s="6"/>
      <c r="E84" s="90" t="s">
        <v>128</v>
      </c>
      <c r="F84" s="90">
        <v>2.5</v>
      </c>
      <c r="G84" s="63">
        <v>80.0</v>
      </c>
      <c r="H84" s="77">
        <f t="shared" si="2"/>
        <v>200</v>
      </c>
      <c r="I84" s="78"/>
      <c r="J84" s="6"/>
      <c r="K84" s="6"/>
    </row>
    <row r="85">
      <c r="D85" s="6"/>
      <c r="E85" s="90" t="s">
        <v>129</v>
      </c>
      <c r="F85" s="90">
        <v>1.5</v>
      </c>
      <c r="G85" s="63">
        <v>100.0</v>
      </c>
      <c r="H85" s="77">
        <f t="shared" si="2"/>
        <v>150</v>
      </c>
      <c r="I85" s="78"/>
      <c r="J85" s="6"/>
      <c r="K85" s="6"/>
    </row>
    <row r="86">
      <c r="D86" s="6"/>
      <c r="E86" s="90" t="s">
        <v>130</v>
      </c>
      <c r="F86" s="90">
        <v>3.0</v>
      </c>
      <c r="G86" s="63">
        <v>100.0</v>
      </c>
      <c r="H86" s="77">
        <f t="shared" si="2"/>
        <v>300</v>
      </c>
      <c r="I86" s="78"/>
      <c r="J86" s="6"/>
      <c r="K86" s="6"/>
    </row>
    <row r="87">
      <c r="D87" s="6"/>
      <c r="E87" s="90" t="s">
        <v>131</v>
      </c>
      <c r="F87" s="90">
        <v>2.0</v>
      </c>
      <c r="G87" s="63">
        <v>350.0</v>
      </c>
      <c r="H87" s="77">
        <f t="shared" si="2"/>
        <v>700</v>
      </c>
      <c r="I87" s="78"/>
      <c r="J87" s="6"/>
      <c r="K87" s="6"/>
    </row>
    <row r="88">
      <c r="D88" s="6"/>
      <c r="E88" s="90" t="s">
        <v>132</v>
      </c>
      <c r="F88" s="90">
        <v>2.0</v>
      </c>
      <c r="G88" s="63">
        <v>100.0</v>
      </c>
      <c r="H88" s="77">
        <f t="shared" si="2"/>
        <v>200</v>
      </c>
      <c r="I88" s="78"/>
      <c r="J88" s="6"/>
      <c r="K88" s="6"/>
    </row>
    <row r="89">
      <c r="D89" s="6"/>
      <c r="E89" s="90" t="s">
        <v>133</v>
      </c>
      <c r="F89" s="90">
        <v>2.0</v>
      </c>
      <c r="G89" s="63">
        <v>100.0</v>
      </c>
      <c r="H89" s="77">
        <f t="shared" si="2"/>
        <v>200</v>
      </c>
      <c r="I89" s="78"/>
      <c r="J89" s="6"/>
      <c r="K89" s="6"/>
    </row>
    <row r="90">
      <c r="D90" s="6"/>
      <c r="E90" s="90" t="s">
        <v>134</v>
      </c>
      <c r="F90" s="90">
        <v>1.0</v>
      </c>
      <c r="G90" s="63">
        <v>380.0</v>
      </c>
      <c r="H90" s="77">
        <f t="shared" si="2"/>
        <v>380</v>
      </c>
      <c r="I90" s="78"/>
      <c r="J90" s="6"/>
      <c r="K90" s="6"/>
    </row>
    <row r="91">
      <c r="D91" s="6"/>
      <c r="E91" s="90" t="s">
        <v>135</v>
      </c>
      <c r="F91" s="90">
        <v>1.0</v>
      </c>
      <c r="G91" s="63">
        <v>600.0</v>
      </c>
      <c r="H91" s="77">
        <f t="shared" si="2"/>
        <v>600</v>
      </c>
      <c r="I91" s="78"/>
      <c r="J91" s="6"/>
      <c r="K91" s="6"/>
    </row>
    <row r="92">
      <c r="D92" s="6"/>
      <c r="E92" s="90" t="s">
        <v>136</v>
      </c>
      <c r="F92" s="90">
        <v>1.0</v>
      </c>
      <c r="G92" s="63">
        <v>1000.0</v>
      </c>
      <c r="H92" s="77">
        <f t="shared" si="2"/>
        <v>1000</v>
      </c>
      <c r="I92" s="78"/>
      <c r="J92" s="6"/>
      <c r="K92" s="6"/>
    </row>
    <row r="93">
      <c r="D93" s="6"/>
      <c r="E93" s="90" t="s">
        <v>137</v>
      </c>
      <c r="F93" s="90">
        <v>4.0</v>
      </c>
      <c r="G93" s="63">
        <v>100.0</v>
      </c>
      <c r="H93" s="77">
        <f t="shared" si="2"/>
        <v>400</v>
      </c>
      <c r="I93" s="78"/>
      <c r="J93" s="6"/>
      <c r="K93" s="6"/>
    </row>
    <row r="94">
      <c r="D94" s="6"/>
      <c r="E94" s="90" t="s">
        <v>138</v>
      </c>
      <c r="F94" s="90">
        <v>1.0</v>
      </c>
      <c r="G94" s="63">
        <v>280.0</v>
      </c>
      <c r="H94" s="77">
        <f t="shared" si="2"/>
        <v>280</v>
      </c>
      <c r="I94" s="78"/>
      <c r="J94" s="6"/>
      <c r="K94" s="6"/>
    </row>
    <row r="95">
      <c r="D95" s="6"/>
      <c r="E95" s="15" t="s">
        <v>139</v>
      </c>
      <c r="F95" s="15">
        <v>1.0</v>
      </c>
      <c r="G95" s="12">
        <v>160.0</v>
      </c>
      <c r="H95" s="77">
        <f t="shared" si="2"/>
        <v>160</v>
      </c>
      <c r="I95" s="78"/>
      <c r="J95" s="6"/>
      <c r="K95" s="6"/>
    </row>
    <row r="96">
      <c r="D96" s="6"/>
      <c r="E96" s="15" t="s">
        <v>140</v>
      </c>
      <c r="F96" s="15">
        <v>1.0</v>
      </c>
      <c r="G96" s="12">
        <v>250.0</v>
      </c>
      <c r="H96" s="77">
        <f t="shared" si="2"/>
        <v>250</v>
      </c>
      <c r="I96" s="78"/>
      <c r="J96" s="6"/>
      <c r="K96" s="6"/>
    </row>
    <row r="97">
      <c r="D97" s="6"/>
      <c r="E97" s="15" t="s">
        <v>141</v>
      </c>
      <c r="F97" s="15">
        <v>2.5</v>
      </c>
      <c r="G97" s="12">
        <v>700.0</v>
      </c>
      <c r="H97" s="77">
        <f t="shared" si="2"/>
        <v>1750</v>
      </c>
      <c r="I97" s="78"/>
      <c r="J97" s="6"/>
      <c r="K97" s="6"/>
    </row>
    <row r="98">
      <c r="D98" s="6"/>
      <c r="E98" s="15" t="s">
        <v>142</v>
      </c>
      <c r="F98" s="15">
        <v>2.5</v>
      </c>
      <c r="G98" s="12">
        <v>700.0</v>
      </c>
      <c r="H98" s="77">
        <f t="shared" si="2"/>
        <v>1750</v>
      </c>
      <c r="I98" s="78"/>
      <c r="J98" s="6"/>
      <c r="K98" s="6"/>
    </row>
    <row r="99">
      <c r="D99" s="6"/>
      <c r="E99" s="15" t="s">
        <v>122</v>
      </c>
      <c r="F99" s="15">
        <v>20.0</v>
      </c>
      <c r="G99" s="12">
        <v>120.0</v>
      </c>
      <c r="H99" s="77">
        <f t="shared" si="2"/>
        <v>2400</v>
      </c>
      <c r="I99" s="78"/>
      <c r="J99" s="6"/>
      <c r="K99" s="6"/>
    </row>
    <row r="100">
      <c r="D100" s="6"/>
      <c r="E100" s="15" t="s">
        <v>143</v>
      </c>
      <c r="F100" s="15">
        <v>2.0</v>
      </c>
      <c r="G100" s="12">
        <v>180.0</v>
      </c>
      <c r="H100" s="77">
        <f t="shared" si="2"/>
        <v>360</v>
      </c>
      <c r="I100" s="78"/>
      <c r="J100" s="6"/>
      <c r="K100" s="6"/>
    </row>
    <row r="101">
      <c r="D101" s="6"/>
      <c r="E101" s="15" t="s">
        <v>113</v>
      </c>
      <c r="F101" s="15">
        <v>6.0</v>
      </c>
      <c r="G101" s="12">
        <v>68.0</v>
      </c>
      <c r="H101" s="77">
        <f t="shared" si="2"/>
        <v>408</v>
      </c>
      <c r="I101" s="78"/>
      <c r="J101" s="6"/>
      <c r="K101" s="6"/>
    </row>
    <row r="102">
      <c r="D102" s="6"/>
      <c r="E102" s="15" t="s">
        <v>144</v>
      </c>
      <c r="F102" s="15">
        <v>155.0</v>
      </c>
      <c r="G102" s="12">
        <v>45.0</v>
      </c>
      <c r="H102" s="77">
        <f t="shared" si="2"/>
        <v>6975</v>
      </c>
      <c r="I102" s="78"/>
      <c r="J102" s="6"/>
      <c r="K102" s="6"/>
    </row>
    <row r="103">
      <c r="D103" s="6"/>
      <c r="E103" s="15" t="s">
        <v>136</v>
      </c>
      <c r="F103" s="15">
        <v>1.0</v>
      </c>
      <c r="G103" s="12">
        <v>1000.0</v>
      </c>
      <c r="H103" s="77">
        <f t="shared" si="2"/>
        <v>1000</v>
      </c>
      <c r="I103" s="78"/>
      <c r="J103" s="6"/>
      <c r="K103" s="6"/>
    </row>
    <row r="104">
      <c r="D104" s="6"/>
      <c r="E104" s="15" t="s">
        <v>145</v>
      </c>
      <c r="F104" s="15">
        <v>1.0</v>
      </c>
      <c r="G104" s="12">
        <v>650.0</v>
      </c>
      <c r="H104" s="77">
        <f t="shared" si="2"/>
        <v>650</v>
      </c>
      <c r="I104" s="78"/>
      <c r="J104" s="6"/>
      <c r="K104" s="6"/>
    </row>
    <row r="105">
      <c r="D105" s="73"/>
      <c r="E105" s="15" t="s">
        <v>146</v>
      </c>
      <c r="F105" s="15">
        <v>15.0</v>
      </c>
      <c r="G105" s="12">
        <v>40.0</v>
      </c>
      <c r="H105" s="77">
        <f t="shared" si="2"/>
        <v>600</v>
      </c>
      <c r="I105" s="78"/>
      <c r="J105" s="6"/>
      <c r="K105" s="6"/>
    </row>
    <row r="106">
      <c r="D106" s="6"/>
      <c r="E106" s="15" t="s">
        <v>147</v>
      </c>
      <c r="F106" s="15">
        <v>3.0</v>
      </c>
      <c r="G106" s="12">
        <v>350.0</v>
      </c>
      <c r="H106" s="77">
        <f t="shared" si="2"/>
        <v>1050</v>
      </c>
      <c r="I106" s="78"/>
      <c r="J106" s="6"/>
      <c r="K106" s="6"/>
    </row>
    <row r="107">
      <c r="D107" s="73"/>
      <c r="E107" s="15" t="s">
        <v>148</v>
      </c>
      <c r="F107" s="15">
        <v>4.0</v>
      </c>
      <c r="G107" s="12">
        <v>280.0</v>
      </c>
      <c r="H107" s="77">
        <f t="shared" si="2"/>
        <v>1120</v>
      </c>
      <c r="I107" s="104"/>
      <c r="J107" s="6"/>
      <c r="K107" s="6"/>
    </row>
    <row r="108">
      <c r="D108" s="73"/>
      <c r="E108" s="15" t="s">
        <v>149</v>
      </c>
      <c r="F108" s="15">
        <v>2.0</v>
      </c>
      <c r="G108" s="12">
        <v>400.0</v>
      </c>
      <c r="H108" s="77">
        <f t="shared" si="2"/>
        <v>800</v>
      </c>
      <c r="I108" s="101"/>
      <c r="J108" s="6"/>
      <c r="K108" s="6"/>
    </row>
    <row r="109">
      <c r="D109" s="73"/>
      <c r="E109" s="15" t="s">
        <v>150</v>
      </c>
      <c r="F109" s="15">
        <v>1.0</v>
      </c>
      <c r="G109" s="12">
        <v>780.0</v>
      </c>
      <c r="H109" s="77">
        <f t="shared" si="2"/>
        <v>780</v>
      </c>
      <c r="I109" s="102"/>
      <c r="J109" s="6"/>
      <c r="K109" s="6"/>
    </row>
    <row r="110">
      <c r="D110" s="6"/>
      <c r="E110" s="15" t="s">
        <v>151</v>
      </c>
      <c r="F110" s="15">
        <v>1.0</v>
      </c>
      <c r="G110" s="12">
        <v>180.0</v>
      </c>
      <c r="H110" s="77">
        <f t="shared" si="2"/>
        <v>180</v>
      </c>
      <c r="I110" s="78"/>
      <c r="J110" s="6"/>
      <c r="K110" s="6"/>
    </row>
    <row r="111">
      <c r="D111" s="6"/>
      <c r="E111" s="105" t="s">
        <v>152</v>
      </c>
      <c r="F111" s="105">
        <v>4.0</v>
      </c>
      <c r="G111" s="106">
        <v>300.0</v>
      </c>
      <c r="H111" s="107">
        <f t="shared" si="2"/>
        <v>1200</v>
      </c>
      <c r="I111" s="108"/>
      <c r="J111" s="6"/>
      <c r="K111" s="6"/>
    </row>
    <row r="112">
      <c r="D112" s="6"/>
      <c r="E112" s="76" t="s">
        <v>153</v>
      </c>
      <c r="F112" s="15">
        <v>2.0</v>
      </c>
      <c r="G112" s="11">
        <v>350.0</v>
      </c>
      <c r="H112" s="85">
        <f t="shared" si="2"/>
        <v>700</v>
      </c>
      <c r="I112" s="78"/>
      <c r="J112" s="6"/>
      <c r="K112" s="6"/>
    </row>
    <row r="113">
      <c r="D113" s="6"/>
      <c r="E113" s="89" t="s">
        <v>154</v>
      </c>
      <c r="F113" s="90">
        <v>1.0</v>
      </c>
      <c r="G113" s="91">
        <v>1020.0</v>
      </c>
      <c r="H113" s="85">
        <f t="shared" si="2"/>
        <v>1020</v>
      </c>
      <c r="I113" s="78"/>
      <c r="J113" s="6"/>
      <c r="K113" s="6"/>
    </row>
    <row r="114">
      <c r="D114" s="6"/>
      <c r="E114" s="76" t="s">
        <v>155</v>
      </c>
      <c r="F114" s="15">
        <v>0.25</v>
      </c>
      <c r="G114" s="11">
        <v>1050.0</v>
      </c>
      <c r="H114" s="85">
        <f t="shared" si="2"/>
        <v>262.5</v>
      </c>
      <c r="I114" s="78"/>
      <c r="J114" s="6"/>
      <c r="K114" s="6"/>
    </row>
    <row r="115">
      <c r="D115" s="6"/>
      <c r="E115" s="15" t="s">
        <v>156</v>
      </c>
      <c r="F115" s="15">
        <v>0.5</v>
      </c>
      <c r="G115" s="12">
        <v>1400.0</v>
      </c>
      <c r="H115" s="77">
        <f t="shared" si="2"/>
        <v>700</v>
      </c>
      <c r="I115" s="78"/>
      <c r="J115" s="6"/>
      <c r="K115" s="6"/>
    </row>
    <row r="116">
      <c r="D116" s="6"/>
      <c r="E116" s="15" t="s">
        <v>157</v>
      </c>
      <c r="F116" s="15">
        <v>4.0</v>
      </c>
      <c r="G116" s="12">
        <v>300.0</v>
      </c>
      <c r="H116" s="77">
        <f t="shared" si="2"/>
        <v>1200</v>
      </c>
      <c r="I116" s="78"/>
      <c r="J116" s="6"/>
      <c r="K116" s="6"/>
    </row>
    <row r="117">
      <c r="D117" s="6"/>
      <c r="E117" s="15" t="s">
        <v>127</v>
      </c>
      <c r="F117" s="15">
        <v>1.0</v>
      </c>
      <c r="G117" s="12">
        <v>200.0</v>
      </c>
      <c r="H117" s="77">
        <f t="shared" si="2"/>
        <v>200</v>
      </c>
      <c r="I117" s="78"/>
      <c r="J117" s="6"/>
      <c r="K117" s="6"/>
    </row>
    <row r="118">
      <c r="D118" s="6"/>
      <c r="E118" s="15" t="s">
        <v>158</v>
      </c>
      <c r="F118" s="15">
        <v>1.0</v>
      </c>
      <c r="G118" s="12">
        <v>650.0</v>
      </c>
      <c r="H118" s="77">
        <f t="shared" si="2"/>
        <v>650</v>
      </c>
      <c r="I118" s="78"/>
      <c r="J118" s="6"/>
      <c r="K118" s="6"/>
    </row>
    <row r="119">
      <c r="D119" s="6"/>
      <c r="E119" s="15" t="s">
        <v>159</v>
      </c>
      <c r="F119" s="15">
        <v>3.0</v>
      </c>
      <c r="G119" s="12">
        <v>680.0</v>
      </c>
      <c r="H119" s="77">
        <f t="shared" si="2"/>
        <v>2040</v>
      </c>
      <c r="I119" s="78"/>
      <c r="J119" s="6"/>
      <c r="K119" s="6"/>
    </row>
    <row r="120">
      <c r="D120" s="6"/>
      <c r="E120" s="15" t="s">
        <v>160</v>
      </c>
      <c r="F120" s="15">
        <v>5.0</v>
      </c>
      <c r="G120" s="12">
        <v>345.0</v>
      </c>
      <c r="H120" s="77">
        <f t="shared" si="2"/>
        <v>1725</v>
      </c>
      <c r="I120" s="109"/>
      <c r="J120" s="6"/>
      <c r="K120" s="6"/>
    </row>
    <row r="121">
      <c r="D121" s="6"/>
      <c r="E121" s="15" t="s">
        <v>161</v>
      </c>
      <c r="F121" s="15">
        <v>16.0</v>
      </c>
      <c r="G121" s="12">
        <v>790.0</v>
      </c>
      <c r="H121" s="77">
        <f t="shared" si="2"/>
        <v>12640</v>
      </c>
      <c r="I121" s="78"/>
      <c r="J121" s="6"/>
      <c r="K121" s="6"/>
    </row>
    <row r="122">
      <c r="D122" s="6"/>
      <c r="E122" s="15" t="s">
        <v>162</v>
      </c>
      <c r="F122" s="15">
        <v>85.0</v>
      </c>
      <c r="G122" s="12">
        <v>43.0</v>
      </c>
      <c r="H122" s="77">
        <f t="shared" si="2"/>
        <v>3655</v>
      </c>
      <c r="I122" s="78"/>
      <c r="J122" s="6"/>
      <c r="K122" s="6"/>
    </row>
    <row r="123">
      <c r="D123" s="6"/>
      <c r="E123" s="15" t="s">
        <v>163</v>
      </c>
      <c r="F123" s="15">
        <v>1.5</v>
      </c>
      <c r="G123" s="12">
        <v>500.0</v>
      </c>
      <c r="H123" s="77">
        <f t="shared" si="2"/>
        <v>750</v>
      </c>
      <c r="I123" s="110" t="s">
        <v>164</v>
      </c>
      <c r="J123" s="6"/>
      <c r="K123" s="6"/>
    </row>
    <row r="124">
      <c r="D124" s="6"/>
      <c r="E124" s="15" t="s">
        <v>74</v>
      </c>
      <c r="F124" s="15">
        <v>5.0</v>
      </c>
      <c r="G124" s="12">
        <v>350.0</v>
      </c>
      <c r="H124" s="77">
        <f t="shared" si="2"/>
        <v>1750</v>
      </c>
      <c r="I124" s="101"/>
      <c r="J124" s="6"/>
      <c r="K124" s="6"/>
    </row>
    <row r="125">
      <c r="D125" s="6"/>
      <c r="E125" s="15" t="s">
        <v>165</v>
      </c>
      <c r="F125" s="15">
        <v>6.0</v>
      </c>
      <c r="G125" s="12">
        <v>150.0</v>
      </c>
      <c r="H125" s="77">
        <f t="shared" si="2"/>
        <v>900</v>
      </c>
      <c r="I125" s="102"/>
      <c r="J125" s="6"/>
      <c r="K125" s="6"/>
    </row>
    <row r="126">
      <c r="D126" s="6"/>
      <c r="E126" s="15" t="s">
        <v>166</v>
      </c>
      <c r="F126" s="15">
        <v>12.0</v>
      </c>
      <c r="G126" s="12">
        <v>270.0</v>
      </c>
      <c r="H126" s="77">
        <f t="shared" si="2"/>
        <v>3240</v>
      </c>
      <c r="I126" s="78"/>
      <c r="J126" s="6"/>
      <c r="K126" s="6"/>
    </row>
    <row r="127">
      <c r="D127" s="6"/>
      <c r="E127" s="15" t="s">
        <v>157</v>
      </c>
      <c r="F127" s="15">
        <v>12.0</v>
      </c>
      <c r="G127" s="12">
        <v>260.0</v>
      </c>
      <c r="H127" s="77">
        <f t="shared" si="2"/>
        <v>3120</v>
      </c>
      <c r="I127" s="78"/>
      <c r="J127" s="6"/>
      <c r="K127" s="6"/>
    </row>
    <row r="128">
      <c r="D128" s="6"/>
      <c r="E128" s="15" t="s">
        <v>167</v>
      </c>
      <c r="F128" s="15">
        <v>160.0</v>
      </c>
      <c r="G128" s="12">
        <v>6.5</v>
      </c>
      <c r="H128" s="77">
        <f t="shared" si="2"/>
        <v>1040</v>
      </c>
      <c r="I128" s="78"/>
      <c r="J128" s="6"/>
      <c r="K128" s="6"/>
    </row>
    <row r="129">
      <c r="D129" s="6"/>
      <c r="E129" s="15" t="s">
        <v>113</v>
      </c>
      <c r="F129" s="15">
        <v>24.0</v>
      </c>
      <c r="G129" s="12">
        <v>65.0</v>
      </c>
      <c r="H129" s="77">
        <f t="shared" si="2"/>
        <v>1560</v>
      </c>
      <c r="I129" s="78"/>
      <c r="J129" s="6"/>
      <c r="K129" s="6"/>
    </row>
    <row r="130">
      <c r="D130" s="6"/>
      <c r="E130" s="15" t="s">
        <v>101</v>
      </c>
      <c r="F130" s="15">
        <v>3.624</v>
      </c>
      <c r="G130" s="12">
        <v>1650.0</v>
      </c>
      <c r="H130" s="77">
        <f t="shared" si="2"/>
        <v>5979.6</v>
      </c>
      <c r="I130" s="78"/>
      <c r="J130" s="6"/>
      <c r="K130" s="6"/>
    </row>
    <row r="131">
      <c r="D131" s="6"/>
      <c r="E131" s="15" t="s">
        <v>168</v>
      </c>
      <c r="F131" s="15">
        <v>16.0</v>
      </c>
      <c r="G131" s="12">
        <v>100.0</v>
      </c>
      <c r="H131" s="77">
        <f t="shared" si="2"/>
        <v>1600</v>
      </c>
      <c r="I131" s="78"/>
      <c r="J131" s="6"/>
      <c r="K131" s="6"/>
    </row>
    <row r="132">
      <c r="D132" s="6"/>
      <c r="E132" s="15" t="s">
        <v>169</v>
      </c>
      <c r="F132" s="15">
        <v>1.0</v>
      </c>
      <c r="G132" s="12">
        <v>120.0</v>
      </c>
      <c r="H132" s="77">
        <f t="shared" si="2"/>
        <v>120</v>
      </c>
      <c r="I132" s="99">
        <v>45787.0</v>
      </c>
      <c r="J132" s="6"/>
      <c r="K132" s="6"/>
    </row>
    <row r="133">
      <c r="D133" s="6"/>
      <c r="E133" s="15" t="s">
        <v>136</v>
      </c>
      <c r="F133" s="15">
        <v>1.0</v>
      </c>
      <c r="G133" s="12">
        <v>1000.0</v>
      </c>
      <c r="H133" s="77">
        <f t="shared" si="2"/>
        <v>1000</v>
      </c>
      <c r="I133" s="78"/>
      <c r="J133" s="6"/>
      <c r="K133" s="6"/>
    </row>
    <row r="134">
      <c r="D134" s="6"/>
      <c r="E134" s="15" t="s">
        <v>170</v>
      </c>
      <c r="F134" s="15">
        <v>1.0</v>
      </c>
      <c r="G134" s="12">
        <v>650.0</v>
      </c>
      <c r="H134" s="77">
        <f t="shared" si="2"/>
        <v>650</v>
      </c>
      <c r="I134" s="78"/>
      <c r="J134" s="6"/>
      <c r="K134" s="6"/>
    </row>
    <row r="135">
      <c r="D135" s="6"/>
      <c r="E135" s="15" t="s">
        <v>171</v>
      </c>
      <c r="F135" s="15">
        <v>1.0</v>
      </c>
      <c r="G135" s="12">
        <v>900.0</v>
      </c>
      <c r="H135" s="77">
        <f t="shared" si="2"/>
        <v>900</v>
      </c>
      <c r="I135" s="78"/>
      <c r="J135" s="6"/>
      <c r="K135" s="6"/>
    </row>
    <row r="136">
      <c r="D136" s="6"/>
      <c r="E136" s="15" t="s">
        <v>172</v>
      </c>
      <c r="F136" s="15">
        <v>0.25</v>
      </c>
      <c r="G136" s="12">
        <v>2000.0</v>
      </c>
      <c r="H136" s="77">
        <f t="shared" si="2"/>
        <v>500</v>
      </c>
      <c r="I136" s="78"/>
      <c r="J136" s="6"/>
      <c r="K136" s="6"/>
    </row>
    <row r="137">
      <c r="D137" s="6"/>
      <c r="E137" s="15" t="s">
        <v>157</v>
      </c>
      <c r="F137" s="15">
        <v>4.0</v>
      </c>
      <c r="G137" s="12">
        <v>280.0</v>
      </c>
      <c r="H137" s="77">
        <f t="shared" si="2"/>
        <v>1120</v>
      </c>
      <c r="I137" s="78"/>
      <c r="J137" s="6"/>
      <c r="K137" s="6"/>
    </row>
    <row r="138">
      <c r="D138" s="6"/>
      <c r="E138" s="15" t="s">
        <v>173</v>
      </c>
      <c r="F138" s="15">
        <v>4.0</v>
      </c>
      <c r="G138" s="12">
        <v>300.0</v>
      </c>
      <c r="H138" s="77">
        <f t="shared" si="2"/>
        <v>1200</v>
      </c>
      <c r="I138" s="78"/>
      <c r="J138" s="6"/>
      <c r="K138" s="6"/>
    </row>
    <row r="139">
      <c r="D139" s="6"/>
      <c r="E139" s="15" t="s">
        <v>174</v>
      </c>
      <c r="F139" s="15">
        <v>5.0</v>
      </c>
      <c r="G139" s="12">
        <v>10.0</v>
      </c>
      <c r="H139" s="77">
        <f t="shared" si="2"/>
        <v>50</v>
      </c>
      <c r="I139" s="78"/>
      <c r="J139" s="6"/>
      <c r="K139" s="6"/>
    </row>
    <row r="140">
      <c r="D140" s="6"/>
      <c r="E140" s="15" t="s">
        <v>175</v>
      </c>
      <c r="F140" s="15">
        <v>1.0</v>
      </c>
      <c r="G140" s="12">
        <v>130.0</v>
      </c>
      <c r="H140" s="77">
        <f t="shared" si="2"/>
        <v>130</v>
      </c>
      <c r="I140" s="78"/>
      <c r="J140" s="6"/>
      <c r="K140" s="6"/>
    </row>
    <row r="141">
      <c r="D141" s="6"/>
      <c r="E141" s="15" t="s">
        <v>134</v>
      </c>
      <c r="F141" s="15">
        <v>1.0</v>
      </c>
      <c r="G141" s="12">
        <v>380.0</v>
      </c>
      <c r="H141" s="77">
        <f t="shared" si="2"/>
        <v>380</v>
      </c>
      <c r="I141" s="78"/>
      <c r="J141" s="6"/>
      <c r="K141" s="6"/>
    </row>
    <row r="142">
      <c r="D142" s="6"/>
      <c r="E142" s="15" t="s">
        <v>176</v>
      </c>
      <c r="F142" s="15">
        <v>1.0</v>
      </c>
      <c r="G142" s="12">
        <v>300.0</v>
      </c>
      <c r="H142" s="77">
        <f t="shared" si="2"/>
        <v>300</v>
      </c>
      <c r="I142" s="78"/>
      <c r="J142" s="6"/>
      <c r="K142" s="6"/>
    </row>
    <row r="143">
      <c r="D143" s="6"/>
      <c r="E143" s="15" t="s">
        <v>177</v>
      </c>
      <c r="F143" s="15">
        <v>9.0</v>
      </c>
      <c r="G143" s="12">
        <v>160.0</v>
      </c>
      <c r="H143" s="77">
        <f t="shared" si="2"/>
        <v>1440</v>
      </c>
      <c r="I143" s="78"/>
      <c r="J143" s="6"/>
      <c r="K143" s="6"/>
    </row>
    <row r="144">
      <c r="D144" s="6"/>
      <c r="E144" s="111" t="s">
        <v>143</v>
      </c>
      <c r="F144" s="111">
        <v>3.0</v>
      </c>
      <c r="G144" s="112">
        <v>180.0</v>
      </c>
      <c r="H144" s="113">
        <f t="shared" si="2"/>
        <v>540</v>
      </c>
      <c r="I144" s="78"/>
      <c r="J144" s="6"/>
      <c r="K144" s="6"/>
    </row>
    <row r="145">
      <c r="D145" s="6"/>
      <c r="E145" s="111" t="s">
        <v>178</v>
      </c>
      <c r="F145" s="111">
        <v>1.0</v>
      </c>
      <c r="G145" s="112">
        <v>210.0</v>
      </c>
      <c r="H145" s="113">
        <f t="shared" si="2"/>
        <v>210</v>
      </c>
      <c r="I145" s="78"/>
      <c r="J145" s="6"/>
      <c r="K145" s="6"/>
    </row>
    <row r="146">
      <c r="D146" s="6"/>
      <c r="E146" s="111" t="s">
        <v>179</v>
      </c>
      <c r="F146" s="111">
        <v>1.0</v>
      </c>
      <c r="G146" s="112">
        <v>30.0</v>
      </c>
      <c r="H146" s="113">
        <f t="shared" si="2"/>
        <v>30</v>
      </c>
      <c r="I146" s="78"/>
      <c r="J146" s="6"/>
      <c r="K146" s="6"/>
    </row>
    <row r="147">
      <c r="D147" s="6"/>
      <c r="E147" s="111" t="s">
        <v>75</v>
      </c>
      <c r="F147" s="111">
        <v>2.0</v>
      </c>
      <c r="G147" s="112">
        <v>100.0</v>
      </c>
      <c r="H147" s="113">
        <f t="shared" si="2"/>
        <v>200</v>
      </c>
      <c r="I147" s="78"/>
      <c r="J147" s="6"/>
      <c r="K147" s="6"/>
    </row>
    <row r="148">
      <c r="D148" s="6"/>
      <c r="E148" s="111" t="s">
        <v>180</v>
      </c>
      <c r="F148" s="111">
        <v>10.0</v>
      </c>
      <c r="G148" s="112">
        <v>110.0</v>
      </c>
      <c r="H148" s="113">
        <f t="shared" si="2"/>
        <v>1100</v>
      </c>
      <c r="I148" s="78"/>
      <c r="J148" s="6"/>
      <c r="K148" s="6"/>
    </row>
    <row r="149">
      <c r="D149" s="6"/>
      <c r="E149" s="111" t="s">
        <v>129</v>
      </c>
      <c r="F149" s="111">
        <v>5.0</v>
      </c>
      <c r="G149" s="112">
        <v>100.0</v>
      </c>
      <c r="H149" s="113">
        <f t="shared" si="2"/>
        <v>500</v>
      </c>
      <c r="I149" s="78"/>
      <c r="J149" s="6"/>
      <c r="K149" s="6"/>
    </row>
    <row r="150">
      <c r="D150" s="6"/>
      <c r="E150" s="111" t="s">
        <v>181</v>
      </c>
      <c r="F150" s="111">
        <v>1.0</v>
      </c>
      <c r="G150" s="112">
        <v>100.0</v>
      </c>
      <c r="H150" s="113">
        <f t="shared" si="2"/>
        <v>100</v>
      </c>
      <c r="I150" s="78"/>
      <c r="J150" s="6"/>
      <c r="K150" s="6"/>
    </row>
    <row r="151">
      <c r="D151" s="6"/>
      <c r="E151" s="111" t="s">
        <v>182</v>
      </c>
      <c r="F151" s="111">
        <v>1.5</v>
      </c>
      <c r="G151" s="112">
        <v>70.0</v>
      </c>
      <c r="H151" s="113">
        <f t="shared" si="2"/>
        <v>105</v>
      </c>
      <c r="I151" s="78"/>
      <c r="J151" s="6"/>
      <c r="K151" s="6"/>
    </row>
    <row r="152">
      <c r="D152" s="6"/>
      <c r="E152" s="111" t="s">
        <v>122</v>
      </c>
      <c r="F152" s="111">
        <v>30.0</v>
      </c>
      <c r="G152" s="112">
        <v>120.0</v>
      </c>
      <c r="H152" s="113">
        <f t="shared" si="2"/>
        <v>3600</v>
      </c>
      <c r="I152" s="78"/>
      <c r="J152" s="6"/>
      <c r="K152" s="6"/>
    </row>
    <row r="153">
      <c r="D153" s="6"/>
      <c r="E153" s="111" t="s">
        <v>183</v>
      </c>
      <c r="F153" s="111">
        <v>2.0</v>
      </c>
      <c r="G153" s="112">
        <v>700.0</v>
      </c>
      <c r="H153" s="113">
        <f t="shared" si="2"/>
        <v>1400</v>
      </c>
      <c r="I153" s="78"/>
      <c r="J153" s="6"/>
      <c r="K153" s="6"/>
    </row>
    <row r="154">
      <c r="D154" s="6"/>
      <c r="E154" s="111" t="s">
        <v>184</v>
      </c>
      <c r="F154" s="111">
        <v>10.0</v>
      </c>
      <c r="G154" s="112">
        <v>70.0</v>
      </c>
      <c r="H154" s="113">
        <f t="shared" si="2"/>
        <v>700</v>
      </c>
      <c r="I154" s="78"/>
      <c r="J154" s="6"/>
      <c r="K154" s="6"/>
    </row>
    <row r="155">
      <c r="D155" s="6"/>
      <c r="E155" s="111" t="s">
        <v>185</v>
      </c>
      <c r="F155" s="111">
        <v>1.0</v>
      </c>
      <c r="G155" s="112">
        <v>750.0</v>
      </c>
      <c r="H155" s="113">
        <f t="shared" si="2"/>
        <v>750</v>
      </c>
      <c r="I155" s="78"/>
      <c r="J155" s="6"/>
      <c r="K155" s="6"/>
    </row>
    <row r="156">
      <c r="D156" s="6"/>
      <c r="E156" s="114" t="s">
        <v>53</v>
      </c>
      <c r="F156" s="114">
        <v>18.0</v>
      </c>
      <c r="G156" s="115">
        <v>1000.0</v>
      </c>
      <c r="H156" s="116">
        <f t="shared" si="2"/>
        <v>18000</v>
      </c>
      <c r="I156" s="117">
        <v>45788.0</v>
      </c>
      <c r="J156" s="6"/>
      <c r="K156" s="6"/>
    </row>
    <row r="157">
      <c r="D157" s="6"/>
      <c r="E157" s="111" t="s">
        <v>186</v>
      </c>
      <c r="F157" s="111">
        <v>3.0</v>
      </c>
      <c r="G157" s="112">
        <v>170.0</v>
      </c>
      <c r="H157" s="113">
        <f t="shared" si="2"/>
        <v>510</v>
      </c>
      <c r="I157" s="78"/>
      <c r="J157" s="6"/>
      <c r="K157" s="6"/>
    </row>
    <row r="158">
      <c r="D158" s="6"/>
      <c r="E158" s="111" t="s">
        <v>187</v>
      </c>
      <c r="F158" s="111">
        <v>1.0</v>
      </c>
      <c r="G158" s="112">
        <v>450.0</v>
      </c>
      <c r="H158" s="113">
        <f t="shared" si="2"/>
        <v>450</v>
      </c>
      <c r="I158" s="78"/>
      <c r="J158" s="6"/>
      <c r="K158" s="6"/>
    </row>
    <row r="159">
      <c r="D159" s="6"/>
      <c r="E159" s="111" t="s">
        <v>188</v>
      </c>
      <c r="F159" s="111">
        <v>3.0</v>
      </c>
      <c r="G159" s="112">
        <v>700.0</v>
      </c>
      <c r="H159" s="113">
        <f t="shared" si="2"/>
        <v>2100</v>
      </c>
      <c r="I159" s="99">
        <v>45789.0</v>
      </c>
      <c r="J159" s="6"/>
      <c r="K159" s="6"/>
    </row>
    <row r="160">
      <c r="D160" s="6"/>
      <c r="E160" s="111" t="s">
        <v>170</v>
      </c>
      <c r="F160" s="111">
        <v>1.0</v>
      </c>
      <c r="G160" s="112">
        <v>650.0</v>
      </c>
      <c r="H160" s="113">
        <f t="shared" si="2"/>
        <v>650</v>
      </c>
      <c r="I160" s="78"/>
      <c r="J160" s="6"/>
      <c r="K160" s="6"/>
    </row>
    <row r="161">
      <c r="D161" s="6"/>
      <c r="E161" s="111" t="s">
        <v>189</v>
      </c>
      <c r="F161" s="111">
        <v>2.5</v>
      </c>
      <c r="G161" s="112">
        <v>80.0</v>
      </c>
      <c r="H161" s="113">
        <f t="shared" si="2"/>
        <v>200</v>
      </c>
      <c r="I161" s="78"/>
      <c r="J161" s="6"/>
      <c r="K161" s="6"/>
    </row>
    <row r="162">
      <c r="D162" s="6"/>
      <c r="E162" s="111" t="s">
        <v>190</v>
      </c>
      <c r="F162" s="111">
        <v>3.0</v>
      </c>
      <c r="G162" s="112">
        <v>30.0</v>
      </c>
      <c r="H162" s="113">
        <f t="shared" si="2"/>
        <v>90</v>
      </c>
      <c r="I162" s="78"/>
      <c r="J162" s="6"/>
      <c r="K162" s="6"/>
    </row>
    <row r="163">
      <c r="D163" s="6"/>
      <c r="E163" s="15" t="s">
        <v>191</v>
      </c>
      <c r="F163" s="15">
        <v>1.0</v>
      </c>
      <c r="G163" s="12">
        <v>550.0</v>
      </c>
      <c r="H163" s="77">
        <f t="shared" si="2"/>
        <v>550</v>
      </c>
      <c r="I163" s="99">
        <v>45790.0</v>
      </c>
      <c r="J163" s="6"/>
      <c r="K163" s="6"/>
    </row>
    <row r="164">
      <c r="D164" s="6"/>
      <c r="E164" s="15" t="s">
        <v>192</v>
      </c>
      <c r="F164" s="15">
        <v>1.0</v>
      </c>
      <c r="G164" s="12">
        <v>450.0</v>
      </c>
      <c r="H164" s="77">
        <f t="shared" si="2"/>
        <v>450</v>
      </c>
      <c r="I164" s="78"/>
      <c r="J164" s="6"/>
      <c r="K164" s="6"/>
    </row>
    <row r="165">
      <c r="D165" s="6"/>
      <c r="E165" s="15" t="s">
        <v>193</v>
      </c>
      <c r="F165" s="15">
        <v>1.0</v>
      </c>
      <c r="G165" s="12">
        <v>320.0</v>
      </c>
      <c r="H165" s="77">
        <f t="shared" si="2"/>
        <v>320</v>
      </c>
      <c r="I165" s="78"/>
      <c r="J165" s="6"/>
      <c r="K165" s="6"/>
    </row>
    <row r="166">
      <c r="D166" s="6"/>
      <c r="E166" s="15" t="s">
        <v>131</v>
      </c>
      <c r="F166" s="15">
        <v>1.0</v>
      </c>
      <c r="G166" s="12">
        <v>350.0</v>
      </c>
      <c r="H166" s="77">
        <f t="shared" si="2"/>
        <v>350</v>
      </c>
      <c r="I166" s="78"/>
      <c r="J166" s="6"/>
      <c r="K166" s="6"/>
    </row>
    <row r="167">
      <c r="D167" s="6"/>
      <c r="E167" s="15" t="s">
        <v>194</v>
      </c>
      <c r="F167" s="15">
        <v>2.0</v>
      </c>
      <c r="G167" s="12">
        <v>150.0</v>
      </c>
      <c r="H167" s="77">
        <f t="shared" si="2"/>
        <v>300</v>
      </c>
      <c r="I167" s="78"/>
      <c r="J167" s="6"/>
      <c r="K167" s="6"/>
    </row>
    <row r="168">
      <c r="D168" s="6"/>
      <c r="E168" s="15" t="s">
        <v>195</v>
      </c>
      <c r="F168" s="15">
        <v>1.0</v>
      </c>
      <c r="G168" s="12">
        <v>150.0</v>
      </c>
      <c r="H168" s="77">
        <f t="shared" si="2"/>
        <v>150</v>
      </c>
      <c r="I168" s="78"/>
      <c r="J168" s="6"/>
      <c r="K168" s="6"/>
    </row>
    <row r="169">
      <c r="D169" s="118">
        <v>0.0</v>
      </c>
      <c r="E169" s="15" t="s">
        <v>196</v>
      </c>
      <c r="F169" s="15">
        <v>1.0</v>
      </c>
      <c r="G169" s="12">
        <v>1000.0</v>
      </c>
      <c r="H169" s="77">
        <f t="shared" si="2"/>
        <v>1000</v>
      </c>
      <c r="I169" s="78"/>
      <c r="J169" s="6"/>
      <c r="K169" s="6"/>
    </row>
    <row r="170">
      <c r="D170" s="6"/>
      <c r="E170" s="15" t="s">
        <v>137</v>
      </c>
      <c r="F170" s="15">
        <v>2.0</v>
      </c>
      <c r="G170" s="12">
        <v>100.0</v>
      </c>
      <c r="H170" s="77">
        <f t="shared" si="2"/>
        <v>200</v>
      </c>
      <c r="I170" s="78"/>
      <c r="J170" s="6"/>
      <c r="K170" s="6"/>
    </row>
    <row r="171">
      <c r="D171" s="6"/>
      <c r="E171" s="15" t="s">
        <v>146</v>
      </c>
      <c r="F171" s="15">
        <v>7.0</v>
      </c>
      <c r="G171" s="12">
        <v>30.0</v>
      </c>
      <c r="H171" s="77">
        <f t="shared" si="2"/>
        <v>210</v>
      </c>
      <c r="I171" s="78"/>
      <c r="J171" s="6"/>
      <c r="K171" s="6"/>
    </row>
    <row r="172">
      <c r="D172" s="6"/>
      <c r="E172" s="15" t="s">
        <v>197</v>
      </c>
      <c r="F172" s="15">
        <v>3.0</v>
      </c>
      <c r="G172" s="12">
        <v>350.0</v>
      </c>
      <c r="H172" s="77">
        <f t="shared" si="2"/>
        <v>1050</v>
      </c>
      <c r="I172" s="78"/>
      <c r="J172" s="6"/>
      <c r="K172" s="6"/>
    </row>
    <row r="173">
      <c r="D173" s="6"/>
      <c r="E173" s="15" t="s">
        <v>198</v>
      </c>
      <c r="F173" s="15">
        <v>2.0</v>
      </c>
      <c r="G173" s="12">
        <v>500.0</v>
      </c>
      <c r="H173" s="77">
        <f t="shared" si="2"/>
        <v>1000</v>
      </c>
      <c r="I173" s="78"/>
      <c r="J173" s="6" t="s">
        <v>199</v>
      </c>
      <c r="K173" s="6"/>
    </row>
    <row r="174">
      <c r="D174" s="6"/>
      <c r="E174" s="15" t="s">
        <v>116</v>
      </c>
      <c r="F174" s="15">
        <v>2.0</v>
      </c>
      <c r="G174" s="12">
        <v>140.0</v>
      </c>
      <c r="H174" s="77">
        <f t="shared" si="2"/>
        <v>280</v>
      </c>
      <c r="I174" s="78"/>
      <c r="J174" s="6"/>
      <c r="K174" s="6"/>
    </row>
    <row r="175">
      <c r="D175" s="6"/>
      <c r="E175" s="15" t="s">
        <v>200</v>
      </c>
      <c r="F175" s="15">
        <v>1.5</v>
      </c>
      <c r="G175" s="12">
        <v>420.0</v>
      </c>
      <c r="H175" s="77">
        <f t="shared" si="2"/>
        <v>630</v>
      </c>
      <c r="I175" s="78"/>
      <c r="J175" s="6"/>
      <c r="K175" s="6"/>
    </row>
    <row r="176">
      <c r="D176" s="6"/>
      <c r="E176" s="15" t="s">
        <v>183</v>
      </c>
      <c r="F176" s="15">
        <v>1.5</v>
      </c>
      <c r="G176" s="12">
        <v>700.0</v>
      </c>
      <c r="H176" s="77">
        <f t="shared" si="2"/>
        <v>1050</v>
      </c>
      <c r="I176" s="78"/>
      <c r="J176" s="6"/>
      <c r="K176" s="6"/>
    </row>
    <row r="177">
      <c r="D177" s="6"/>
      <c r="E177" s="15" t="s">
        <v>170</v>
      </c>
      <c r="F177" s="15">
        <v>1.0</v>
      </c>
      <c r="G177" s="12">
        <v>650.0</v>
      </c>
      <c r="H177" s="77">
        <f t="shared" si="2"/>
        <v>650</v>
      </c>
      <c r="I177" s="78"/>
      <c r="J177" s="6"/>
      <c r="K177" s="6"/>
    </row>
    <row r="178">
      <c r="D178" s="6"/>
      <c r="E178" s="15" t="s">
        <v>144</v>
      </c>
      <c r="F178" s="15">
        <v>95.0</v>
      </c>
      <c r="G178" s="12">
        <v>50.0</v>
      </c>
      <c r="H178" s="77">
        <f t="shared" si="2"/>
        <v>4750</v>
      </c>
      <c r="I178" s="78"/>
      <c r="J178" s="6"/>
      <c r="K178" s="6"/>
    </row>
    <row r="179">
      <c r="D179" s="6"/>
      <c r="E179" s="15" t="s">
        <v>75</v>
      </c>
      <c r="F179" s="15">
        <v>2.5</v>
      </c>
      <c r="G179" s="12">
        <v>80.0</v>
      </c>
      <c r="H179" s="77">
        <f t="shared" si="2"/>
        <v>200</v>
      </c>
      <c r="I179" s="78"/>
      <c r="J179" s="6"/>
      <c r="K179" s="6"/>
    </row>
    <row r="180">
      <c r="D180" s="6"/>
      <c r="E180" s="15" t="s">
        <v>122</v>
      </c>
      <c r="F180" s="15">
        <v>2.0</v>
      </c>
      <c r="G180" s="12">
        <v>120.0</v>
      </c>
      <c r="H180" s="77">
        <f t="shared" si="2"/>
        <v>240</v>
      </c>
      <c r="I180" s="78"/>
      <c r="J180" s="6"/>
      <c r="K180" s="6"/>
    </row>
    <row r="181">
      <c r="D181" s="6"/>
      <c r="E181" s="15" t="s">
        <v>201</v>
      </c>
      <c r="F181" s="15">
        <v>2.0</v>
      </c>
      <c r="G181" s="12">
        <v>350.0</v>
      </c>
      <c r="H181" s="77">
        <f t="shared" si="2"/>
        <v>700</v>
      </c>
      <c r="I181" s="78"/>
      <c r="J181" s="6"/>
      <c r="K181" s="6"/>
    </row>
    <row r="182">
      <c r="D182" s="6"/>
      <c r="E182" s="15" t="s">
        <v>202</v>
      </c>
      <c r="F182" s="15">
        <v>1.0</v>
      </c>
      <c r="G182" s="12">
        <v>150.0</v>
      </c>
      <c r="H182" s="77">
        <f t="shared" si="2"/>
        <v>150</v>
      </c>
      <c r="I182" s="119" t="s">
        <v>203</v>
      </c>
      <c r="J182" s="6"/>
      <c r="K182" s="6"/>
    </row>
    <row r="183">
      <c r="D183" s="6"/>
      <c r="E183" s="15" t="s">
        <v>115</v>
      </c>
      <c r="F183" s="15">
        <v>1.0</v>
      </c>
      <c r="G183" s="12">
        <v>1500.0</v>
      </c>
      <c r="H183" s="77">
        <f t="shared" si="2"/>
        <v>1500</v>
      </c>
      <c r="I183" s="78"/>
      <c r="J183" s="6"/>
      <c r="K183" s="6"/>
    </row>
    <row r="184">
      <c r="D184" s="6"/>
      <c r="E184" s="15" t="s">
        <v>204</v>
      </c>
      <c r="F184" s="15">
        <v>2.0</v>
      </c>
      <c r="G184" s="12">
        <v>250.0</v>
      </c>
      <c r="H184" s="77">
        <f t="shared" si="2"/>
        <v>500</v>
      </c>
      <c r="I184" s="78"/>
      <c r="J184" s="6"/>
      <c r="K184" s="6"/>
    </row>
    <row r="185">
      <c r="D185" s="6"/>
      <c r="E185" s="15" t="s">
        <v>141</v>
      </c>
      <c r="F185" s="15">
        <v>1.5</v>
      </c>
      <c r="G185" s="12">
        <v>700.0</v>
      </c>
      <c r="H185" s="77">
        <f t="shared" si="2"/>
        <v>1050</v>
      </c>
      <c r="I185" s="78"/>
      <c r="J185" s="6"/>
      <c r="K185" s="6"/>
    </row>
    <row r="186">
      <c r="D186" s="6"/>
      <c r="E186" s="15" t="s">
        <v>122</v>
      </c>
      <c r="F186" s="15">
        <v>20.0</v>
      </c>
      <c r="G186" s="12">
        <v>120.0</v>
      </c>
      <c r="H186" s="77">
        <f t="shared" si="2"/>
        <v>2400</v>
      </c>
      <c r="I186" s="78"/>
      <c r="J186" s="6"/>
      <c r="K186" s="6"/>
    </row>
    <row r="187">
      <c r="D187" s="6"/>
      <c r="E187" s="15" t="s">
        <v>205</v>
      </c>
      <c r="F187" s="15">
        <v>2.0</v>
      </c>
      <c r="G187" s="12">
        <v>150.0</v>
      </c>
      <c r="H187" s="77">
        <f t="shared" si="2"/>
        <v>300</v>
      </c>
      <c r="I187" s="78"/>
      <c r="J187" s="6"/>
      <c r="K187" s="6"/>
    </row>
    <row r="188">
      <c r="D188" s="6"/>
      <c r="E188" s="15" t="s">
        <v>206</v>
      </c>
      <c r="F188" s="15">
        <v>1.0</v>
      </c>
      <c r="G188" s="12">
        <v>200.0</v>
      </c>
      <c r="H188" s="77">
        <f t="shared" si="2"/>
        <v>200</v>
      </c>
      <c r="I188" s="78"/>
      <c r="J188" s="6"/>
      <c r="K188" s="6"/>
    </row>
    <row r="189">
      <c r="D189" s="6"/>
      <c r="E189" s="15" t="s">
        <v>132</v>
      </c>
      <c r="F189" s="15">
        <v>2.0</v>
      </c>
      <c r="G189" s="12">
        <v>80.0</v>
      </c>
      <c r="H189" s="77">
        <f t="shared" si="2"/>
        <v>160</v>
      </c>
      <c r="I189" s="78"/>
      <c r="J189" s="6"/>
      <c r="K189" s="6"/>
    </row>
    <row r="190">
      <c r="D190" s="118">
        <v>750.0</v>
      </c>
      <c r="E190" s="15" t="s">
        <v>207</v>
      </c>
      <c r="F190" s="15">
        <v>1.0</v>
      </c>
      <c r="G190" s="12">
        <v>750.0</v>
      </c>
      <c r="H190" s="77">
        <f t="shared" si="2"/>
        <v>750</v>
      </c>
      <c r="I190" s="78"/>
      <c r="J190" s="6"/>
      <c r="K190" s="6"/>
    </row>
    <row r="191">
      <c r="D191" s="118">
        <v>175.0</v>
      </c>
      <c r="E191" s="15" t="s">
        <v>121</v>
      </c>
      <c r="F191" s="15">
        <v>4.0</v>
      </c>
      <c r="G191" s="12">
        <v>175.0</v>
      </c>
      <c r="H191" s="77">
        <f t="shared" si="2"/>
        <v>700</v>
      </c>
      <c r="I191" s="78"/>
      <c r="J191" s="6"/>
      <c r="K191" s="6"/>
    </row>
    <row r="192">
      <c r="D192" s="6"/>
      <c r="E192" s="15" t="s">
        <v>208</v>
      </c>
      <c r="F192" s="15">
        <v>4.0</v>
      </c>
      <c r="G192" s="12">
        <v>100.0</v>
      </c>
      <c r="H192" s="77">
        <f t="shared" si="2"/>
        <v>400</v>
      </c>
      <c r="I192" s="78"/>
      <c r="J192" s="6"/>
      <c r="K192" s="6"/>
    </row>
    <row r="193">
      <c r="D193" s="6"/>
      <c r="E193" s="15" t="s">
        <v>209</v>
      </c>
      <c r="F193" s="15">
        <v>10.0</v>
      </c>
      <c r="G193" s="12">
        <v>280.0</v>
      </c>
      <c r="H193" s="77">
        <f t="shared" si="2"/>
        <v>2800</v>
      </c>
      <c r="I193" s="78"/>
      <c r="J193" s="6"/>
      <c r="K193" s="6"/>
    </row>
    <row r="194">
      <c r="D194" s="6"/>
      <c r="E194" s="15" t="s">
        <v>185</v>
      </c>
      <c r="F194" s="15">
        <v>1.0</v>
      </c>
      <c r="G194" s="12">
        <v>700.0</v>
      </c>
      <c r="H194" s="77">
        <f t="shared" si="2"/>
        <v>700</v>
      </c>
      <c r="I194" s="78"/>
      <c r="J194" s="6"/>
      <c r="K194" s="6"/>
    </row>
    <row r="195">
      <c r="D195" s="6"/>
      <c r="E195" s="15" t="s">
        <v>177</v>
      </c>
      <c r="F195" s="15">
        <v>1.0</v>
      </c>
      <c r="G195" s="12">
        <v>180.0</v>
      </c>
      <c r="H195" s="77">
        <f t="shared" si="2"/>
        <v>180</v>
      </c>
      <c r="I195" s="78"/>
      <c r="J195" s="6"/>
      <c r="K195" s="6"/>
    </row>
    <row r="196">
      <c r="D196" s="6"/>
      <c r="E196" s="15" t="s">
        <v>210</v>
      </c>
      <c r="F196" s="15">
        <v>1.0</v>
      </c>
      <c r="G196" s="12">
        <v>250.0</v>
      </c>
      <c r="H196" s="77">
        <f t="shared" si="2"/>
        <v>250</v>
      </c>
      <c r="I196" s="78"/>
      <c r="J196" s="6"/>
      <c r="K196" s="6"/>
    </row>
    <row r="197">
      <c r="D197" s="6"/>
      <c r="E197" s="15" t="s">
        <v>211</v>
      </c>
      <c r="F197" s="15">
        <v>1.0</v>
      </c>
      <c r="G197" s="12">
        <v>110.0</v>
      </c>
      <c r="H197" s="77">
        <f t="shared" si="2"/>
        <v>110</v>
      </c>
      <c r="I197" s="119" t="s">
        <v>212</v>
      </c>
      <c r="J197" s="6"/>
      <c r="K197" s="6"/>
    </row>
    <row r="198">
      <c r="D198" s="6"/>
      <c r="E198" s="15" t="s">
        <v>168</v>
      </c>
      <c r="F198" s="15">
        <v>3.0</v>
      </c>
      <c r="G198" s="12">
        <v>150.0</v>
      </c>
      <c r="H198" s="77">
        <f t="shared" si="2"/>
        <v>450</v>
      </c>
      <c r="I198" s="78"/>
      <c r="J198" s="6"/>
      <c r="K198" s="6"/>
    </row>
    <row r="199">
      <c r="D199" s="6"/>
      <c r="E199" s="15" t="s">
        <v>134</v>
      </c>
      <c r="F199" s="15">
        <v>1.0</v>
      </c>
      <c r="G199" s="12">
        <v>380.0</v>
      </c>
      <c r="H199" s="77">
        <f t="shared" si="2"/>
        <v>380</v>
      </c>
      <c r="I199" s="78"/>
      <c r="J199" s="6"/>
      <c r="K199" s="6"/>
    </row>
    <row r="200">
      <c r="D200" s="6"/>
      <c r="E200" s="15" t="s">
        <v>213</v>
      </c>
      <c r="F200" s="15">
        <v>1.0</v>
      </c>
      <c r="G200" s="12">
        <v>500.0</v>
      </c>
      <c r="H200" s="77">
        <f t="shared" si="2"/>
        <v>500</v>
      </c>
      <c r="I200" s="78"/>
      <c r="J200" s="6"/>
      <c r="K200" s="6"/>
    </row>
    <row r="201">
      <c r="D201" s="6"/>
      <c r="E201" s="15" t="s">
        <v>214</v>
      </c>
      <c r="F201" s="15">
        <v>2.0</v>
      </c>
      <c r="G201" s="12">
        <v>40.0</v>
      </c>
      <c r="H201" s="77">
        <f t="shared" si="2"/>
        <v>80</v>
      </c>
      <c r="I201" s="78"/>
      <c r="J201" s="6"/>
      <c r="K201" s="6"/>
    </row>
    <row r="202">
      <c r="D202" s="6"/>
      <c r="E202" s="15" t="s">
        <v>215</v>
      </c>
      <c r="F202" s="15">
        <v>1.0</v>
      </c>
      <c r="G202" s="12">
        <v>250.0</v>
      </c>
      <c r="H202" s="120">
        <v>220.0</v>
      </c>
      <c r="I202" s="78"/>
      <c r="J202" s="6"/>
      <c r="K202" s="6"/>
    </row>
    <row r="203">
      <c r="D203" s="6"/>
      <c r="E203" s="15" t="s">
        <v>136</v>
      </c>
      <c r="F203" s="15">
        <v>1.0</v>
      </c>
      <c r="G203" s="12">
        <v>1000.0</v>
      </c>
      <c r="H203" s="77">
        <f t="shared" ref="H203:H229" si="3">F203*G203</f>
        <v>1000</v>
      </c>
      <c r="I203" s="78"/>
      <c r="J203" s="6"/>
      <c r="K203" s="6"/>
    </row>
    <row r="204">
      <c r="D204" s="6"/>
      <c r="E204" s="15" t="s">
        <v>170</v>
      </c>
      <c r="F204" s="15">
        <v>1.0</v>
      </c>
      <c r="G204" s="12">
        <v>650.0</v>
      </c>
      <c r="H204" s="77">
        <f t="shared" si="3"/>
        <v>650</v>
      </c>
      <c r="I204" s="78"/>
      <c r="J204" s="6"/>
      <c r="K204" s="6"/>
    </row>
    <row r="205">
      <c r="D205" s="6"/>
      <c r="E205" s="15" t="s">
        <v>216</v>
      </c>
      <c r="F205" s="15">
        <v>1.5</v>
      </c>
      <c r="G205" s="12">
        <v>650.0</v>
      </c>
      <c r="H205" s="77">
        <f t="shared" si="3"/>
        <v>975</v>
      </c>
      <c r="I205" s="78"/>
      <c r="J205" s="6"/>
      <c r="K205" s="6"/>
    </row>
    <row r="206">
      <c r="D206" s="6"/>
      <c r="E206" s="15" t="s">
        <v>217</v>
      </c>
      <c r="F206" s="15">
        <v>1.5</v>
      </c>
      <c r="G206" s="12">
        <v>700.0</v>
      </c>
      <c r="H206" s="77">
        <f t="shared" si="3"/>
        <v>1050</v>
      </c>
      <c r="I206" s="78"/>
      <c r="J206" s="6"/>
      <c r="K206" s="6"/>
    </row>
    <row r="207">
      <c r="D207" s="6"/>
      <c r="E207" s="15" t="s">
        <v>122</v>
      </c>
      <c r="F207" s="15">
        <v>15.0</v>
      </c>
      <c r="G207" s="12">
        <v>120.0</v>
      </c>
      <c r="H207" s="77">
        <f t="shared" si="3"/>
        <v>1800</v>
      </c>
      <c r="I207" s="78"/>
      <c r="J207" s="6"/>
      <c r="K207" s="6"/>
    </row>
    <row r="208">
      <c r="D208" s="6"/>
      <c r="E208" s="15" t="s">
        <v>112</v>
      </c>
      <c r="F208" s="15">
        <v>5.0</v>
      </c>
      <c r="G208" s="12">
        <v>160.0</v>
      </c>
      <c r="H208" s="77">
        <f t="shared" si="3"/>
        <v>800</v>
      </c>
      <c r="I208" s="78"/>
      <c r="J208" s="6"/>
      <c r="K208" s="6"/>
    </row>
    <row r="209">
      <c r="D209" s="6"/>
      <c r="E209" s="15" t="s">
        <v>218</v>
      </c>
      <c r="F209" s="15">
        <v>1.0</v>
      </c>
      <c r="G209" s="12">
        <v>2500.0</v>
      </c>
      <c r="H209" s="77">
        <f t="shared" si="3"/>
        <v>2500</v>
      </c>
      <c r="I209" s="78"/>
      <c r="J209" s="6"/>
      <c r="K209" s="6"/>
    </row>
    <row r="210">
      <c r="D210" s="6"/>
      <c r="E210" s="15" t="s">
        <v>201</v>
      </c>
      <c r="F210" s="15">
        <v>3.0</v>
      </c>
      <c r="G210" s="12">
        <v>350.0</v>
      </c>
      <c r="H210" s="77">
        <f t="shared" si="3"/>
        <v>1050</v>
      </c>
      <c r="I210" s="78"/>
      <c r="J210" s="6"/>
      <c r="K210" s="6"/>
    </row>
    <row r="211">
      <c r="D211" s="6"/>
      <c r="E211" s="15" t="s">
        <v>183</v>
      </c>
      <c r="F211" s="15">
        <v>1.5</v>
      </c>
      <c r="G211" s="12">
        <v>700.0</v>
      </c>
      <c r="H211" s="77">
        <f t="shared" si="3"/>
        <v>1050</v>
      </c>
      <c r="I211" s="99">
        <v>45797.0</v>
      </c>
      <c r="J211" s="6"/>
      <c r="K211" s="6"/>
    </row>
    <row r="212">
      <c r="D212" s="6"/>
      <c r="E212" s="15" t="s">
        <v>122</v>
      </c>
      <c r="F212" s="15">
        <v>5.0</v>
      </c>
      <c r="G212" s="12">
        <v>120.0</v>
      </c>
      <c r="H212" s="77">
        <f t="shared" si="3"/>
        <v>600</v>
      </c>
      <c r="I212" s="78"/>
      <c r="J212" s="6"/>
      <c r="K212" s="6"/>
    </row>
    <row r="213">
      <c r="D213" s="6"/>
      <c r="E213" s="15" t="s">
        <v>219</v>
      </c>
      <c r="F213" s="15">
        <v>1.0</v>
      </c>
      <c r="G213" s="12">
        <v>600.0</v>
      </c>
      <c r="H213" s="77">
        <f t="shared" si="3"/>
        <v>600</v>
      </c>
      <c r="I213" s="78"/>
      <c r="J213" s="6"/>
      <c r="K213" s="6"/>
    </row>
    <row r="214">
      <c r="D214" s="6"/>
      <c r="E214" s="15" t="s">
        <v>220</v>
      </c>
      <c r="F214" s="15">
        <v>1.0</v>
      </c>
      <c r="G214" s="12">
        <v>650.0</v>
      </c>
      <c r="H214" s="77">
        <f t="shared" si="3"/>
        <v>650</v>
      </c>
      <c r="I214" s="78"/>
      <c r="J214" s="6"/>
      <c r="K214" s="6"/>
    </row>
    <row r="215">
      <c r="D215" s="6"/>
      <c r="E215" s="15" t="s">
        <v>131</v>
      </c>
      <c r="F215" s="15">
        <v>1.0</v>
      </c>
      <c r="G215" s="12">
        <v>360.0</v>
      </c>
      <c r="H215" s="77">
        <f t="shared" si="3"/>
        <v>360</v>
      </c>
      <c r="I215" s="78"/>
      <c r="J215" s="6"/>
      <c r="K215" s="6"/>
    </row>
    <row r="216">
      <c r="D216" s="6"/>
      <c r="E216" s="15" t="s">
        <v>221</v>
      </c>
      <c r="F216" s="15">
        <v>1.0</v>
      </c>
      <c r="G216" s="12">
        <v>300.0</v>
      </c>
      <c r="H216" s="77">
        <f t="shared" si="3"/>
        <v>300</v>
      </c>
      <c r="I216" s="78"/>
      <c r="J216" s="6"/>
      <c r="K216" s="6"/>
    </row>
    <row r="217">
      <c r="D217" s="6"/>
      <c r="E217" s="15" t="s">
        <v>222</v>
      </c>
      <c r="F217" s="15">
        <v>1.0</v>
      </c>
      <c r="G217" s="12">
        <v>1500.0</v>
      </c>
      <c r="H217" s="77">
        <f t="shared" si="3"/>
        <v>1500</v>
      </c>
      <c r="I217" s="78"/>
      <c r="J217" s="6"/>
      <c r="K217" s="6"/>
    </row>
    <row r="218">
      <c r="D218" s="6"/>
      <c r="E218" s="15" t="s">
        <v>223</v>
      </c>
      <c r="F218" s="15">
        <v>2.0</v>
      </c>
      <c r="G218" s="12">
        <v>1000.0</v>
      </c>
      <c r="H218" s="77">
        <f t="shared" si="3"/>
        <v>2000</v>
      </c>
      <c r="I218" s="78"/>
      <c r="J218" s="6"/>
      <c r="K218" s="6"/>
    </row>
    <row r="219">
      <c r="D219" s="6"/>
      <c r="E219" s="15" t="s">
        <v>224</v>
      </c>
      <c r="F219" s="15">
        <v>3.0</v>
      </c>
      <c r="G219" s="12">
        <v>100.0</v>
      </c>
      <c r="H219" s="77">
        <f t="shared" si="3"/>
        <v>300</v>
      </c>
      <c r="I219" s="99">
        <v>45796.0</v>
      </c>
      <c r="J219" s="6"/>
      <c r="K219" s="6"/>
    </row>
    <row r="220">
      <c r="D220" s="6"/>
      <c r="E220" s="15" t="s">
        <v>225</v>
      </c>
      <c r="F220" s="15">
        <v>1.5</v>
      </c>
      <c r="G220" s="12">
        <v>700.0</v>
      </c>
      <c r="H220" s="77">
        <f t="shared" si="3"/>
        <v>1050</v>
      </c>
      <c r="I220" s="78"/>
      <c r="J220" s="6"/>
      <c r="K220" s="6"/>
    </row>
    <row r="221">
      <c r="D221" s="6"/>
      <c r="E221" s="15" t="s">
        <v>201</v>
      </c>
      <c r="F221" s="15">
        <v>24.0</v>
      </c>
      <c r="G221" s="12">
        <v>17.0</v>
      </c>
      <c r="H221" s="77">
        <f t="shared" si="3"/>
        <v>408</v>
      </c>
      <c r="I221" s="78"/>
      <c r="J221" s="6"/>
      <c r="K221" s="6"/>
    </row>
    <row r="222">
      <c r="D222" s="6"/>
      <c r="E222" s="15" t="s">
        <v>134</v>
      </c>
      <c r="F222" s="15">
        <v>1.0</v>
      </c>
      <c r="G222" s="12">
        <v>360.0</v>
      </c>
      <c r="H222" s="77">
        <f t="shared" si="3"/>
        <v>360</v>
      </c>
      <c r="I222" s="78"/>
      <c r="J222" s="6"/>
      <c r="K222" s="6"/>
    </row>
    <row r="223">
      <c r="D223" s="6"/>
      <c r="E223" s="15" t="s">
        <v>226</v>
      </c>
      <c r="F223" s="15">
        <v>1.0</v>
      </c>
      <c r="G223" s="12">
        <v>250.0</v>
      </c>
      <c r="H223" s="77">
        <f t="shared" si="3"/>
        <v>250</v>
      </c>
      <c r="I223" s="78"/>
      <c r="J223" s="6"/>
      <c r="K223" s="6"/>
    </row>
    <row r="224">
      <c r="D224" s="6"/>
      <c r="E224" s="15" t="s">
        <v>144</v>
      </c>
      <c r="F224" s="15">
        <v>160.0</v>
      </c>
      <c r="G224" s="12">
        <v>45.0</v>
      </c>
      <c r="H224" s="77">
        <f t="shared" si="3"/>
        <v>7200</v>
      </c>
      <c r="I224" s="99">
        <v>45792.0</v>
      </c>
      <c r="J224" s="6"/>
      <c r="K224" s="6"/>
    </row>
    <row r="225">
      <c r="D225" s="6"/>
      <c r="E225" s="15" t="s">
        <v>179</v>
      </c>
      <c r="F225" s="15">
        <v>1.0</v>
      </c>
      <c r="G225" s="12">
        <v>30.0</v>
      </c>
      <c r="H225" s="77">
        <f t="shared" si="3"/>
        <v>30</v>
      </c>
      <c r="I225" s="78"/>
      <c r="J225" s="6"/>
      <c r="K225" s="6"/>
    </row>
    <row r="226">
      <c r="D226" s="6"/>
      <c r="E226" s="15" t="s">
        <v>217</v>
      </c>
      <c r="F226" s="15">
        <v>3.0</v>
      </c>
      <c r="G226" s="12">
        <v>700.0</v>
      </c>
      <c r="H226" s="77">
        <f t="shared" si="3"/>
        <v>2100</v>
      </c>
      <c r="I226" s="78"/>
      <c r="J226" s="6"/>
      <c r="K226" s="6"/>
    </row>
    <row r="227">
      <c r="D227" s="6"/>
      <c r="E227" s="15" t="s">
        <v>201</v>
      </c>
      <c r="F227" s="15">
        <v>5.0</v>
      </c>
      <c r="G227" s="12">
        <v>420.0</v>
      </c>
      <c r="H227" s="77">
        <f t="shared" si="3"/>
        <v>2100</v>
      </c>
      <c r="I227" s="78"/>
      <c r="J227" s="6"/>
      <c r="K227" s="6"/>
    </row>
    <row r="228">
      <c r="D228" s="6"/>
      <c r="E228" s="15" t="s">
        <v>227</v>
      </c>
      <c r="F228" s="15">
        <v>10.0</v>
      </c>
      <c r="G228" s="12">
        <v>60.0</v>
      </c>
      <c r="H228" s="77">
        <f t="shared" si="3"/>
        <v>600</v>
      </c>
      <c r="I228" s="78"/>
      <c r="J228" s="6"/>
      <c r="K228" s="6"/>
    </row>
    <row r="229">
      <c r="D229" s="6"/>
      <c r="E229" s="15" t="s">
        <v>228</v>
      </c>
      <c r="F229" s="15">
        <v>30.0</v>
      </c>
      <c r="G229" s="12">
        <v>40.0</v>
      </c>
      <c r="H229" s="77">
        <f t="shared" si="3"/>
        <v>1200</v>
      </c>
      <c r="I229" s="99">
        <v>45799.0</v>
      </c>
      <c r="J229" s="6"/>
      <c r="K229" s="6"/>
    </row>
    <row r="230">
      <c r="D230" s="6"/>
      <c r="E230" s="15" t="s">
        <v>229</v>
      </c>
      <c r="F230" s="15">
        <v>1.0</v>
      </c>
      <c r="G230" s="12">
        <v>500.0</v>
      </c>
      <c r="H230" s="120">
        <v>500.0</v>
      </c>
      <c r="I230" s="78"/>
      <c r="J230" s="6"/>
      <c r="K230" s="6"/>
    </row>
    <row r="231">
      <c r="D231" s="6"/>
      <c r="E231" s="15" t="s">
        <v>75</v>
      </c>
      <c r="F231" s="15">
        <v>2.0</v>
      </c>
      <c r="G231" s="12">
        <v>100.0</v>
      </c>
      <c r="H231" s="77">
        <f t="shared" ref="H231:H367" si="4">F231*G231</f>
        <v>200</v>
      </c>
      <c r="I231" s="78"/>
      <c r="J231" s="6"/>
      <c r="K231" s="6"/>
    </row>
    <row r="232">
      <c r="D232" s="6"/>
      <c r="E232" s="15" t="s">
        <v>230</v>
      </c>
      <c r="F232" s="15">
        <v>15.0</v>
      </c>
      <c r="G232" s="12">
        <v>120.0</v>
      </c>
      <c r="H232" s="77">
        <f t="shared" si="4"/>
        <v>1800</v>
      </c>
      <c r="I232" s="78"/>
      <c r="J232" s="6"/>
      <c r="K232" s="6"/>
    </row>
    <row r="233">
      <c r="D233" s="6"/>
      <c r="E233" s="15" t="s">
        <v>217</v>
      </c>
      <c r="F233" s="15">
        <v>4.5</v>
      </c>
      <c r="G233" s="12">
        <v>700.0</v>
      </c>
      <c r="H233" s="77">
        <f t="shared" si="4"/>
        <v>3150</v>
      </c>
      <c r="I233" s="78"/>
      <c r="J233" s="6"/>
      <c r="K233" s="6"/>
    </row>
    <row r="234">
      <c r="D234" s="6"/>
      <c r="E234" s="15" t="s">
        <v>178</v>
      </c>
      <c r="F234" s="15">
        <v>1.0</v>
      </c>
      <c r="G234" s="12">
        <v>120.0</v>
      </c>
      <c r="H234" s="77">
        <f t="shared" si="4"/>
        <v>120</v>
      </c>
      <c r="I234" s="78"/>
      <c r="J234" s="6"/>
      <c r="K234" s="6"/>
    </row>
    <row r="235">
      <c r="D235" s="6"/>
      <c r="E235" s="15" t="s">
        <v>143</v>
      </c>
      <c r="F235" s="15">
        <v>5.0</v>
      </c>
      <c r="G235" s="12">
        <v>180.0</v>
      </c>
      <c r="H235" s="77">
        <f t="shared" si="4"/>
        <v>900</v>
      </c>
      <c r="I235" s="78"/>
      <c r="J235" s="6"/>
      <c r="K235" s="6"/>
    </row>
    <row r="236">
      <c r="D236" s="6"/>
      <c r="E236" s="15" t="s">
        <v>231</v>
      </c>
      <c r="F236" s="15">
        <v>11.0</v>
      </c>
      <c r="G236" s="12">
        <v>600.0</v>
      </c>
      <c r="H236" s="77">
        <f t="shared" si="4"/>
        <v>6600</v>
      </c>
      <c r="I236" s="78"/>
      <c r="J236" s="6"/>
      <c r="K236" s="6"/>
    </row>
    <row r="237">
      <c r="D237" s="6"/>
      <c r="E237" s="15" t="s">
        <v>232</v>
      </c>
      <c r="F237" s="15">
        <v>10.0</v>
      </c>
      <c r="G237" s="12">
        <v>145.0</v>
      </c>
      <c r="H237" s="77">
        <f t="shared" si="4"/>
        <v>1450</v>
      </c>
      <c r="I237" s="78"/>
      <c r="J237" s="6"/>
      <c r="K237" s="6"/>
    </row>
    <row r="238">
      <c r="D238" s="6"/>
      <c r="E238" s="15" t="s">
        <v>233</v>
      </c>
      <c r="F238" s="15">
        <v>2.0</v>
      </c>
      <c r="G238" s="12">
        <v>490.0</v>
      </c>
      <c r="H238" s="77">
        <f t="shared" si="4"/>
        <v>980</v>
      </c>
      <c r="I238" s="78"/>
      <c r="J238" s="6"/>
      <c r="K238" s="6"/>
    </row>
    <row r="239">
      <c r="D239" s="6"/>
      <c r="E239" s="15" t="s">
        <v>197</v>
      </c>
      <c r="F239" s="15">
        <v>4.0</v>
      </c>
      <c r="G239" s="12">
        <v>400.0</v>
      </c>
      <c r="H239" s="77">
        <f t="shared" si="4"/>
        <v>1600</v>
      </c>
      <c r="I239" s="78"/>
      <c r="J239" s="6"/>
      <c r="K239" s="6"/>
    </row>
    <row r="240">
      <c r="D240" s="6"/>
      <c r="E240" s="15" t="s">
        <v>234</v>
      </c>
      <c r="F240" s="15">
        <v>3.0</v>
      </c>
      <c r="G240" s="12">
        <v>500.0</v>
      </c>
      <c r="H240" s="77">
        <f t="shared" si="4"/>
        <v>1500</v>
      </c>
      <c r="I240" s="99">
        <v>45800.0</v>
      </c>
      <c r="J240" s="6"/>
      <c r="K240" s="6"/>
    </row>
    <row r="241">
      <c r="D241" s="6"/>
      <c r="E241" s="15" t="s">
        <v>235</v>
      </c>
      <c r="F241" s="15">
        <v>1.0</v>
      </c>
      <c r="G241" s="12">
        <v>350.0</v>
      </c>
      <c r="H241" s="77">
        <f t="shared" si="4"/>
        <v>350</v>
      </c>
      <c r="I241" s="78"/>
      <c r="J241" s="6"/>
      <c r="K241" s="6"/>
    </row>
    <row r="242">
      <c r="D242" s="6"/>
      <c r="E242" s="15" t="s">
        <v>236</v>
      </c>
      <c r="F242" s="15">
        <v>0.5</v>
      </c>
      <c r="G242" s="12">
        <v>2200.0</v>
      </c>
      <c r="H242" s="77">
        <f t="shared" si="4"/>
        <v>1100</v>
      </c>
      <c r="I242" s="78"/>
      <c r="J242" s="6"/>
      <c r="K242" s="6"/>
    </row>
    <row r="243">
      <c r="D243" s="6"/>
      <c r="E243" s="15" t="s">
        <v>75</v>
      </c>
      <c r="F243" s="15">
        <v>8.0</v>
      </c>
      <c r="G243" s="12">
        <v>65.0</v>
      </c>
      <c r="H243" s="77">
        <f t="shared" si="4"/>
        <v>520</v>
      </c>
      <c r="I243" s="78"/>
      <c r="J243" s="6"/>
      <c r="K243" s="6"/>
    </row>
    <row r="244">
      <c r="D244" s="6"/>
      <c r="E244" s="15" t="s">
        <v>177</v>
      </c>
      <c r="F244" s="15">
        <v>10.0</v>
      </c>
      <c r="G244" s="12">
        <v>140.0</v>
      </c>
      <c r="H244" s="77">
        <f t="shared" si="4"/>
        <v>1400</v>
      </c>
      <c r="I244" s="78"/>
      <c r="J244" s="6"/>
      <c r="K244" s="6"/>
    </row>
    <row r="245">
      <c r="D245" s="6"/>
      <c r="E245" s="15" t="s">
        <v>237</v>
      </c>
      <c r="F245" s="15">
        <v>1.5</v>
      </c>
      <c r="G245" s="12">
        <v>450.0</v>
      </c>
      <c r="H245" s="77">
        <f t="shared" si="4"/>
        <v>675</v>
      </c>
      <c r="I245" s="78"/>
      <c r="J245" s="6"/>
      <c r="K245" s="6"/>
    </row>
    <row r="246">
      <c r="D246" s="6"/>
      <c r="E246" s="15" t="s">
        <v>238</v>
      </c>
      <c r="F246" s="15">
        <v>2.0</v>
      </c>
      <c r="G246" s="12">
        <v>250.0</v>
      </c>
      <c r="H246" s="77">
        <f t="shared" si="4"/>
        <v>500</v>
      </c>
      <c r="I246" s="78"/>
      <c r="J246" s="6"/>
      <c r="K246" s="6"/>
    </row>
    <row r="247">
      <c r="D247" s="6"/>
      <c r="E247" s="15" t="s">
        <v>239</v>
      </c>
      <c r="F247" s="15">
        <v>1.0</v>
      </c>
      <c r="G247" s="12">
        <v>100.0</v>
      </c>
      <c r="H247" s="77">
        <f t="shared" si="4"/>
        <v>100</v>
      </c>
      <c r="I247" s="78"/>
      <c r="J247" s="6"/>
      <c r="K247" s="6"/>
    </row>
    <row r="248">
      <c r="D248" s="6"/>
      <c r="E248" s="15" t="s">
        <v>240</v>
      </c>
      <c r="F248" s="15">
        <v>1.5</v>
      </c>
      <c r="G248" s="12">
        <v>1500.0</v>
      </c>
      <c r="H248" s="77">
        <f t="shared" si="4"/>
        <v>2250</v>
      </c>
      <c r="I248" s="78"/>
      <c r="J248" s="6"/>
      <c r="K248" s="6"/>
    </row>
    <row r="249">
      <c r="D249" s="6"/>
      <c r="E249" s="15" t="s">
        <v>241</v>
      </c>
      <c r="F249" s="15">
        <v>5.25</v>
      </c>
      <c r="G249" s="12">
        <v>180.0</v>
      </c>
      <c r="H249" s="77">
        <f t="shared" si="4"/>
        <v>945</v>
      </c>
      <c r="I249" s="78"/>
      <c r="J249" s="6"/>
      <c r="K249" s="6"/>
    </row>
    <row r="250">
      <c r="D250" s="6"/>
      <c r="E250" s="15" t="s">
        <v>214</v>
      </c>
      <c r="F250" s="15">
        <v>15.0</v>
      </c>
      <c r="G250" s="12">
        <v>30.0</v>
      </c>
      <c r="H250" s="77">
        <f t="shared" si="4"/>
        <v>450</v>
      </c>
      <c r="I250" s="78"/>
      <c r="J250" s="6"/>
      <c r="K250" s="6"/>
    </row>
    <row r="251">
      <c r="D251" s="6"/>
      <c r="E251" s="15" t="s">
        <v>242</v>
      </c>
      <c r="F251" s="15">
        <v>2.0</v>
      </c>
      <c r="G251" s="12">
        <v>1500.0</v>
      </c>
      <c r="H251" s="77">
        <f t="shared" si="4"/>
        <v>3000</v>
      </c>
      <c r="I251" s="78"/>
      <c r="J251" s="6"/>
      <c r="K251" s="6"/>
    </row>
    <row r="252">
      <c r="D252" s="6"/>
      <c r="E252" s="15" t="s">
        <v>118</v>
      </c>
      <c r="F252" s="15">
        <v>2.0</v>
      </c>
      <c r="G252" s="12">
        <v>1000.0</v>
      </c>
      <c r="H252" s="77">
        <f t="shared" si="4"/>
        <v>2000</v>
      </c>
      <c r="I252" s="78"/>
      <c r="J252" s="6"/>
      <c r="K252" s="6"/>
    </row>
    <row r="253">
      <c r="D253" s="6"/>
      <c r="E253" s="15" t="s">
        <v>243</v>
      </c>
      <c r="F253" s="15">
        <v>120.0</v>
      </c>
      <c r="G253" s="12">
        <v>165.0</v>
      </c>
      <c r="H253" s="77">
        <f t="shared" si="4"/>
        <v>19800</v>
      </c>
      <c r="I253" s="78"/>
      <c r="J253" s="6"/>
      <c r="K253" s="6"/>
    </row>
    <row r="254">
      <c r="D254" s="6"/>
      <c r="E254" s="15" t="s">
        <v>244</v>
      </c>
      <c r="F254" s="15">
        <v>5.0</v>
      </c>
      <c r="G254" s="12">
        <v>700.0</v>
      </c>
      <c r="H254" s="77">
        <f t="shared" si="4"/>
        <v>3500</v>
      </c>
      <c r="I254" s="78"/>
      <c r="J254" s="6"/>
      <c r="K254" s="6"/>
    </row>
    <row r="255">
      <c r="D255" s="6"/>
      <c r="E255" s="15" t="s">
        <v>230</v>
      </c>
      <c r="F255" s="15">
        <v>10.0</v>
      </c>
      <c r="G255" s="12">
        <v>120.0</v>
      </c>
      <c r="H255" s="77">
        <f t="shared" si="4"/>
        <v>1200</v>
      </c>
      <c r="I255" s="78"/>
      <c r="J255" s="6"/>
      <c r="K255" s="6"/>
    </row>
    <row r="256">
      <c r="D256" s="6"/>
      <c r="E256" s="15" t="s">
        <v>245</v>
      </c>
      <c r="F256" s="15">
        <v>1.0</v>
      </c>
      <c r="G256" s="12">
        <v>800.0</v>
      </c>
      <c r="H256" s="77">
        <f t="shared" si="4"/>
        <v>800</v>
      </c>
      <c r="I256" s="78"/>
      <c r="J256" s="6"/>
      <c r="K256" s="6"/>
    </row>
    <row r="257">
      <c r="D257" s="6"/>
      <c r="E257" s="15" t="s">
        <v>246</v>
      </c>
      <c r="F257" s="15">
        <v>1.0</v>
      </c>
      <c r="G257" s="12">
        <v>200.0</v>
      </c>
      <c r="H257" s="77">
        <f t="shared" si="4"/>
        <v>200</v>
      </c>
      <c r="I257" s="78"/>
      <c r="J257" s="6"/>
      <c r="K257" s="6"/>
    </row>
    <row r="258">
      <c r="D258" s="6"/>
      <c r="E258" s="15" t="s">
        <v>247</v>
      </c>
      <c r="F258" s="15">
        <v>10.0</v>
      </c>
      <c r="G258" s="12">
        <v>70.0</v>
      </c>
      <c r="H258" s="77">
        <f t="shared" si="4"/>
        <v>700</v>
      </c>
      <c r="I258" s="78"/>
      <c r="J258" s="6"/>
      <c r="K258" s="6"/>
    </row>
    <row r="259">
      <c r="D259" s="6"/>
      <c r="E259" s="15" t="s">
        <v>180</v>
      </c>
      <c r="F259" s="15">
        <v>10.0</v>
      </c>
      <c r="G259" s="12">
        <v>70.0</v>
      </c>
      <c r="H259" s="77">
        <f t="shared" si="4"/>
        <v>700</v>
      </c>
      <c r="I259" s="78"/>
      <c r="J259" s="6"/>
      <c r="K259" s="6"/>
    </row>
    <row r="260">
      <c r="D260" s="6"/>
      <c r="E260" s="15" t="s">
        <v>248</v>
      </c>
      <c r="F260" s="15">
        <v>1.0</v>
      </c>
      <c r="G260" s="12">
        <v>100.0</v>
      </c>
      <c r="H260" s="77">
        <f t="shared" si="4"/>
        <v>100</v>
      </c>
      <c r="I260" s="78"/>
      <c r="J260" s="6"/>
      <c r="K260" s="6"/>
    </row>
    <row r="261">
      <c r="D261" s="6"/>
      <c r="E261" s="15" t="s">
        <v>249</v>
      </c>
      <c r="F261" s="15">
        <v>1.0</v>
      </c>
      <c r="G261" s="12">
        <v>100.0</v>
      </c>
      <c r="H261" s="77">
        <f t="shared" si="4"/>
        <v>100</v>
      </c>
      <c r="I261" s="78"/>
      <c r="J261" s="6"/>
      <c r="K261" s="6"/>
    </row>
    <row r="262">
      <c r="D262" s="6"/>
      <c r="E262" s="15" t="s">
        <v>250</v>
      </c>
      <c r="F262" s="15">
        <v>2.0</v>
      </c>
      <c r="G262" s="12">
        <v>100.0</v>
      </c>
      <c r="H262" s="77">
        <f t="shared" si="4"/>
        <v>200</v>
      </c>
      <c r="I262" s="78"/>
      <c r="J262" s="6"/>
      <c r="K262" s="6"/>
    </row>
    <row r="263">
      <c r="D263" s="6"/>
      <c r="E263" s="15" t="s">
        <v>251</v>
      </c>
      <c r="F263" s="15">
        <v>1.0</v>
      </c>
      <c r="G263" s="12">
        <v>100.0</v>
      </c>
      <c r="H263" s="77">
        <f t="shared" si="4"/>
        <v>100</v>
      </c>
      <c r="I263" s="78"/>
      <c r="J263" s="6"/>
      <c r="K263" s="6"/>
    </row>
    <row r="264">
      <c r="D264" s="6"/>
      <c r="E264" s="15" t="s">
        <v>252</v>
      </c>
      <c r="F264" s="15">
        <v>1.0</v>
      </c>
      <c r="G264" s="12">
        <v>900.0</v>
      </c>
      <c r="H264" s="77">
        <f t="shared" si="4"/>
        <v>900</v>
      </c>
      <c r="I264" s="78"/>
      <c r="J264" s="6"/>
      <c r="K264" s="6"/>
    </row>
    <row r="265">
      <c r="D265" s="6"/>
      <c r="E265" s="15" t="s">
        <v>253</v>
      </c>
      <c r="F265" s="15">
        <v>2.0</v>
      </c>
      <c r="G265" s="12">
        <v>70.0</v>
      </c>
      <c r="H265" s="77">
        <f t="shared" si="4"/>
        <v>140</v>
      </c>
      <c r="I265" s="78"/>
      <c r="J265" s="6"/>
      <c r="K265" s="6"/>
    </row>
    <row r="266">
      <c r="D266" s="6"/>
      <c r="E266" s="15" t="s">
        <v>137</v>
      </c>
      <c r="F266" s="15">
        <v>10.0</v>
      </c>
      <c r="G266" s="12">
        <v>100.0</v>
      </c>
      <c r="H266" s="77">
        <f t="shared" si="4"/>
        <v>1000</v>
      </c>
      <c r="I266" s="78"/>
      <c r="J266" s="6"/>
      <c r="K266" s="6"/>
    </row>
    <row r="267">
      <c r="D267" s="6"/>
      <c r="E267" s="15" t="s">
        <v>254</v>
      </c>
      <c r="F267" s="15">
        <v>1.0</v>
      </c>
      <c r="G267" s="12">
        <v>700.0</v>
      </c>
      <c r="H267" s="77">
        <f t="shared" si="4"/>
        <v>700</v>
      </c>
      <c r="I267" s="78"/>
      <c r="J267" s="6"/>
      <c r="K267" s="6"/>
    </row>
    <row r="268">
      <c r="D268" s="6"/>
      <c r="E268" s="15" t="s">
        <v>255</v>
      </c>
      <c r="F268" s="15">
        <v>2.0</v>
      </c>
      <c r="G268" s="12">
        <v>800.0</v>
      </c>
      <c r="H268" s="77">
        <f t="shared" si="4"/>
        <v>1600</v>
      </c>
      <c r="I268" s="78"/>
      <c r="J268" s="6"/>
      <c r="K268" s="6"/>
    </row>
    <row r="269">
      <c r="D269" s="6"/>
      <c r="E269" s="15" t="s">
        <v>256</v>
      </c>
      <c r="F269" s="15">
        <v>42.7</v>
      </c>
      <c r="G269" s="12">
        <v>2300.0</v>
      </c>
      <c r="H269" s="77">
        <f t="shared" si="4"/>
        <v>98210</v>
      </c>
      <c r="I269" s="78"/>
      <c r="J269" s="6"/>
      <c r="K269" s="6"/>
    </row>
    <row r="270">
      <c r="D270" s="6"/>
      <c r="E270" s="15" t="s">
        <v>257</v>
      </c>
      <c r="F270" s="15">
        <v>5.0</v>
      </c>
      <c r="G270" s="12">
        <v>1000.0</v>
      </c>
      <c r="H270" s="77">
        <f t="shared" si="4"/>
        <v>5000</v>
      </c>
      <c r="I270" s="78"/>
      <c r="J270" s="6"/>
      <c r="K270" s="6"/>
    </row>
    <row r="271">
      <c r="D271" s="6"/>
      <c r="E271" s="15" t="s">
        <v>75</v>
      </c>
      <c r="F271" s="15">
        <v>1.0</v>
      </c>
      <c r="G271" s="12">
        <v>100.0</v>
      </c>
      <c r="H271" s="77">
        <f t="shared" si="4"/>
        <v>100</v>
      </c>
      <c r="I271" s="119" t="s">
        <v>258</v>
      </c>
      <c r="J271" s="6"/>
      <c r="K271" s="6"/>
    </row>
    <row r="272">
      <c r="D272" s="6"/>
      <c r="E272" s="15" t="s">
        <v>259</v>
      </c>
      <c r="F272" s="15">
        <v>2.0</v>
      </c>
      <c r="G272" s="12">
        <v>200.0</v>
      </c>
      <c r="H272" s="77">
        <f t="shared" si="4"/>
        <v>400</v>
      </c>
      <c r="I272" s="78"/>
      <c r="J272" s="6"/>
      <c r="K272" s="6"/>
    </row>
    <row r="273">
      <c r="D273" s="6"/>
      <c r="E273" s="15" t="s">
        <v>260</v>
      </c>
      <c r="F273" s="15">
        <v>1.0</v>
      </c>
      <c r="G273" s="12">
        <v>250.0</v>
      </c>
      <c r="H273" s="77">
        <f t="shared" si="4"/>
        <v>250</v>
      </c>
      <c r="I273" s="78"/>
      <c r="J273" s="6"/>
      <c r="K273" s="6"/>
    </row>
    <row r="274">
      <c r="D274" s="6"/>
      <c r="E274" s="15" t="s">
        <v>261</v>
      </c>
      <c r="F274" s="15">
        <v>1.0</v>
      </c>
      <c r="G274" s="12">
        <v>300.0</v>
      </c>
      <c r="H274" s="77">
        <f t="shared" si="4"/>
        <v>300</v>
      </c>
      <c r="I274" s="78"/>
      <c r="J274" s="6"/>
      <c r="K274" s="6"/>
    </row>
    <row r="275">
      <c r="D275" s="6"/>
      <c r="E275" s="15" t="s">
        <v>262</v>
      </c>
      <c r="F275" s="15">
        <v>1.0</v>
      </c>
      <c r="G275" s="12">
        <v>600.0</v>
      </c>
      <c r="H275" s="77">
        <f t="shared" si="4"/>
        <v>600</v>
      </c>
      <c r="I275" s="78"/>
      <c r="J275" s="6"/>
      <c r="K275" s="6"/>
    </row>
    <row r="276">
      <c r="D276" s="6"/>
      <c r="E276" s="15" t="s">
        <v>263</v>
      </c>
      <c r="F276" s="15">
        <v>170.0</v>
      </c>
      <c r="G276" s="12">
        <v>40.0</v>
      </c>
      <c r="H276" s="77">
        <f t="shared" si="4"/>
        <v>6800</v>
      </c>
      <c r="I276" s="78"/>
      <c r="J276" s="6"/>
      <c r="K276" s="6"/>
    </row>
    <row r="277">
      <c r="D277" s="6"/>
      <c r="E277" s="15" t="s">
        <v>264</v>
      </c>
      <c r="F277" s="15">
        <v>5.0</v>
      </c>
      <c r="G277" s="12">
        <v>220.0</v>
      </c>
      <c r="H277" s="77">
        <f t="shared" si="4"/>
        <v>1100</v>
      </c>
      <c r="I277" s="78"/>
      <c r="J277" s="6"/>
      <c r="K277" s="6"/>
    </row>
    <row r="278">
      <c r="D278" s="6"/>
      <c r="E278" s="15" t="s">
        <v>265</v>
      </c>
      <c r="F278" s="15">
        <v>3.0</v>
      </c>
      <c r="G278" s="12">
        <v>270.0</v>
      </c>
      <c r="H278" s="77">
        <f t="shared" si="4"/>
        <v>810</v>
      </c>
      <c r="I278" s="78"/>
      <c r="J278" s="6"/>
      <c r="K278" s="6"/>
    </row>
    <row r="279">
      <c r="D279" s="6"/>
      <c r="E279" s="15" t="s">
        <v>101</v>
      </c>
      <c r="F279" s="15">
        <v>1.0</v>
      </c>
      <c r="G279" s="12">
        <v>420.0</v>
      </c>
      <c r="H279" s="77">
        <f t="shared" si="4"/>
        <v>420</v>
      </c>
      <c r="I279" s="78"/>
      <c r="J279" s="6"/>
      <c r="K279" s="6"/>
    </row>
    <row r="280">
      <c r="D280" s="6"/>
      <c r="E280" s="15" t="s">
        <v>157</v>
      </c>
      <c r="F280" s="15">
        <v>1.0</v>
      </c>
      <c r="G280" s="12">
        <v>300.0</v>
      </c>
      <c r="H280" s="77">
        <f t="shared" si="4"/>
        <v>300</v>
      </c>
      <c r="I280" s="78"/>
      <c r="J280" s="6"/>
      <c r="K280" s="6"/>
    </row>
    <row r="281">
      <c r="D281" s="6"/>
      <c r="E281" s="15" t="s">
        <v>131</v>
      </c>
      <c r="F281" s="15">
        <v>1.0</v>
      </c>
      <c r="G281" s="12">
        <v>360.0</v>
      </c>
      <c r="H281" s="77">
        <f t="shared" si="4"/>
        <v>360</v>
      </c>
      <c r="I281" s="78"/>
      <c r="J281" s="6"/>
      <c r="K281" s="6"/>
    </row>
    <row r="282">
      <c r="D282" s="6"/>
      <c r="E282" s="15" t="s">
        <v>140</v>
      </c>
      <c r="F282" s="15">
        <v>1.0</v>
      </c>
      <c r="G282" s="12">
        <v>300.0</v>
      </c>
      <c r="H282" s="77">
        <f t="shared" si="4"/>
        <v>300</v>
      </c>
      <c r="I282" s="78"/>
      <c r="J282" s="6"/>
      <c r="K282" s="6"/>
    </row>
    <row r="283">
      <c r="D283" s="6"/>
      <c r="E283" s="80" t="s">
        <v>266</v>
      </c>
      <c r="F283" s="80">
        <v>2.0</v>
      </c>
      <c r="G283" s="81">
        <v>200.0</v>
      </c>
      <c r="H283" s="82">
        <f t="shared" si="4"/>
        <v>400</v>
      </c>
      <c r="I283" s="119" t="s">
        <v>267</v>
      </c>
      <c r="J283" s="6"/>
      <c r="K283" s="6"/>
    </row>
    <row r="284">
      <c r="D284" s="6"/>
      <c r="E284" s="15" t="s">
        <v>268</v>
      </c>
      <c r="F284" s="15">
        <v>1.0</v>
      </c>
      <c r="G284" s="12">
        <v>1000.0</v>
      </c>
      <c r="H284" s="77">
        <f t="shared" si="4"/>
        <v>1000</v>
      </c>
      <c r="I284" s="78"/>
      <c r="J284" s="6"/>
      <c r="K284" s="6"/>
    </row>
    <row r="285">
      <c r="D285" s="6"/>
      <c r="E285" s="15" t="s">
        <v>150</v>
      </c>
      <c r="F285" s="15">
        <v>1.0</v>
      </c>
      <c r="G285" s="12">
        <v>750.0</v>
      </c>
      <c r="H285" s="77">
        <f t="shared" si="4"/>
        <v>750</v>
      </c>
      <c r="I285" s="78"/>
      <c r="J285" s="6"/>
      <c r="K285" s="6"/>
    </row>
    <row r="286">
      <c r="D286" s="6"/>
      <c r="E286" s="15" t="s">
        <v>269</v>
      </c>
      <c r="F286" s="15">
        <v>1.0</v>
      </c>
      <c r="G286" s="12">
        <v>60.0</v>
      </c>
      <c r="H286" s="77">
        <f t="shared" si="4"/>
        <v>60</v>
      </c>
      <c r="I286" s="99">
        <v>45801.0</v>
      </c>
      <c r="J286" s="6"/>
      <c r="K286" s="6"/>
    </row>
    <row r="287">
      <c r="D287" s="6"/>
      <c r="E287" s="15" t="s">
        <v>270</v>
      </c>
      <c r="F287" s="15">
        <v>2.0</v>
      </c>
      <c r="G287" s="12">
        <v>1000.0</v>
      </c>
      <c r="H287" s="77">
        <f t="shared" si="4"/>
        <v>2000</v>
      </c>
      <c r="I287" s="78"/>
      <c r="J287" s="6"/>
      <c r="K287" s="6"/>
    </row>
    <row r="288">
      <c r="D288" s="6"/>
      <c r="E288" s="15" t="s">
        <v>230</v>
      </c>
      <c r="F288" s="15">
        <v>10.0</v>
      </c>
      <c r="G288" s="12">
        <v>120.0</v>
      </c>
      <c r="H288" s="77">
        <f t="shared" si="4"/>
        <v>1200</v>
      </c>
      <c r="I288" s="78"/>
      <c r="J288" s="6"/>
      <c r="K288" s="6"/>
    </row>
    <row r="289">
      <c r="D289" s="6"/>
      <c r="E289" s="15" t="s">
        <v>208</v>
      </c>
      <c r="F289" s="15">
        <v>1.0</v>
      </c>
      <c r="G289" s="12">
        <v>200.0</v>
      </c>
      <c r="H289" s="77">
        <f t="shared" si="4"/>
        <v>200</v>
      </c>
      <c r="I289" s="78"/>
      <c r="J289" s="6"/>
      <c r="K289" s="6"/>
    </row>
    <row r="290">
      <c r="D290" s="6"/>
      <c r="E290" s="15" t="s">
        <v>271</v>
      </c>
      <c r="F290" s="15">
        <v>1.0</v>
      </c>
      <c r="G290" s="12">
        <v>240.0</v>
      </c>
      <c r="H290" s="77">
        <f t="shared" si="4"/>
        <v>240</v>
      </c>
      <c r="I290" s="78"/>
      <c r="J290" s="6"/>
      <c r="K290" s="6"/>
    </row>
    <row r="291">
      <c r="D291" s="6"/>
      <c r="E291" s="15" t="s">
        <v>157</v>
      </c>
      <c r="F291" s="15">
        <v>1.0</v>
      </c>
      <c r="G291" s="12">
        <v>300.0</v>
      </c>
      <c r="H291" s="77">
        <f t="shared" si="4"/>
        <v>300</v>
      </c>
      <c r="I291" s="78"/>
      <c r="J291" s="6"/>
      <c r="K291" s="6"/>
    </row>
    <row r="292">
      <c r="D292" s="6"/>
      <c r="E292" s="15" t="s">
        <v>166</v>
      </c>
      <c r="F292" s="15">
        <v>1.0</v>
      </c>
      <c r="G292" s="12">
        <v>320.0</v>
      </c>
      <c r="H292" s="77">
        <f t="shared" si="4"/>
        <v>320</v>
      </c>
      <c r="I292" s="78"/>
      <c r="J292" s="6"/>
      <c r="K292" s="6"/>
    </row>
    <row r="293">
      <c r="D293" s="6"/>
      <c r="E293" s="15" t="s">
        <v>272</v>
      </c>
      <c r="F293" s="15">
        <v>1.0</v>
      </c>
      <c r="G293" s="12">
        <v>500.0</v>
      </c>
      <c r="H293" s="77">
        <f t="shared" si="4"/>
        <v>500</v>
      </c>
      <c r="I293" s="78"/>
      <c r="J293" s="6"/>
      <c r="K293" s="6"/>
    </row>
    <row r="294">
      <c r="D294" s="6"/>
      <c r="E294" s="15" t="s">
        <v>116</v>
      </c>
      <c r="F294" s="15">
        <v>4.0</v>
      </c>
      <c r="G294" s="12">
        <v>125.0</v>
      </c>
      <c r="H294" s="77">
        <f t="shared" si="4"/>
        <v>500</v>
      </c>
      <c r="I294" s="99">
        <v>45795.0</v>
      </c>
      <c r="J294" s="6"/>
      <c r="K294" s="6"/>
    </row>
    <row r="295">
      <c r="D295" s="6"/>
      <c r="E295" s="15" t="s">
        <v>107</v>
      </c>
      <c r="F295" s="15">
        <v>8.0</v>
      </c>
      <c r="G295" s="12">
        <v>920.0</v>
      </c>
      <c r="H295" s="77">
        <f t="shared" si="4"/>
        <v>7360</v>
      </c>
      <c r="I295" s="78"/>
      <c r="J295" s="6"/>
      <c r="K295" s="6"/>
    </row>
    <row r="296">
      <c r="D296" s="6"/>
      <c r="E296" s="15" t="s">
        <v>273</v>
      </c>
      <c r="F296" s="15">
        <v>5.0</v>
      </c>
      <c r="G296" s="12">
        <v>2300.0</v>
      </c>
      <c r="H296" s="77">
        <f t="shared" si="4"/>
        <v>11500</v>
      </c>
      <c r="I296" s="78"/>
      <c r="J296" s="6"/>
      <c r="K296" s="6"/>
    </row>
    <row r="297">
      <c r="D297" s="6"/>
      <c r="E297" s="15" t="s">
        <v>274</v>
      </c>
      <c r="F297" s="15">
        <v>12.0</v>
      </c>
      <c r="G297" s="12">
        <v>250.0</v>
      </c>
      <c r="H297" s="77">
        <f t="shared" si="4"/>
        <v>3000</v>
      </c>
      <c r="I297" s="78"/>
      <c r="J297" s="6"/>
      <c r="K297" s="6"/>
    </row>
    <row r="298">
      <c r="D298" s="6"/>
      <c r="E298" s="15" t="s">
        <v>113</v>
      </c>
      <c r="F298" s="15">
        <v>10.0</v>
      </c>
      <c r="G298" s="12">
        <v>65.0</v>
      </c>
      <c r="H298" s="77">
        <f t="shared" si="4"/>
        <v>650</v>
      </c>
      <c r="I298" s="78"/>
      <c r="J298" s="6"/>
      <c r="K298" s="6"/>
    </row>
    <row r="299">
      <c r="D299" s="6"/>
      <c r="E299" s="15" t="s">
        <v>275</v>
      </c>
      <c r="F299" s="15">
        <v>2.0</v>
      </c>
      <c r="G299" s="12">
        <v>390.0</v>
      </c>
      <c r="H299" s="77">
        <f t="shared" si="4"/>
        <v>780</v>
      </c>
      <c r="I299" s="78"/>
      <c r="J299" s="6"/>
      <c r="K299" s="6"/>
    </row>
    <row r="300">
      <c r="D300" s="6"/>
      <c r="E300" s="15" t="s">
        <v>276</v>
      </c>
      <c r="F300" s="15">
        <v>22.0</v>
      </c>
      <c r="G300" s="12">
        <v>125.0</v>
      </c>
      <c r="H300" s="77">
        <f t="shared" si="4"/>
        <v>2750</v>
      </c>
      <c r="I300" s="78"/>
      <c r="J300" s="6"/>
      <c r="K300" s="6"/>
    </row>
    <row r="301">
      <c r="D301" s="6"/>
      <c r="E301" s="15" t="s">
        <v>277</v>
      </c>
      <c r="F301" s="15">
        <v>60.0</v>
      </c>
      <c r="G301" s="12">
        <v>25.0</v>
      </c>
      <c r="H301" s="77">
        <f t="shared" si="4"/>
        <v>1500</v>
      </c>
      <c r="I301" s="78"/>
      <c r="J301" s="6"/>
      <c r="K301" s="6"/>
    </row>
    <row r="302">
      <c r="D302" s="6"/>
      <c r="E302" s="15" t="s">
        <v>183</v>
      </c>
      <c r="F302" s="15">
        <v>0.5</v>
      </c>
      <c r="G302" s="12">
        <v>1000.0</v>
      </c>
      <c r="H302" s="77">
        <f t="shared" si="4"/>
        <v>500</v>
      </c>
      <c r="I302" s="78"/>
      <c r="J302" s="6"/>
      <c r="K302" s="6"/>
    </row>
    <row r="303">
      <c r="D303" s="6"/>
      <c r="E303" s="15" t="s">
        <v>278</v>
      </c>
      <c r="F303" s="15">
        <v>3.0</v>
      </c>
      <c r="G303" s="12">
        <v>1500.0</v>
      </c>
      <c r="H303" s="77">
        <f t="shared" si="4"/>
        <v>4500</v>
      </c>
      <c r="I303" s="99">
        <v>45804.0</v>
      </c>
      <c r="J303" s="6"/>
      <c r="K303" s="6"/>
    </row>
    <row r="304">
      <c r="D304" s="6"/>
      <c r="E304" s="15" t="s">
        <v>279</v>
      </c>
      <c r="F304" s="15">
        <v>0.5</v>
      </c>
      <c r="G304" s="12">
        <v>1000.0</v>
      </c>
      <c r="H304" s="77">
        <f t="shared" si="4"/>
        <v>500</v>
      </c>
      <c r="I304" s="78"/>
      <c r="J304" s="6"/>
      <c r="K304" s="6"/>
    </row>
    <row r="305">
      <c r="D305" s="6"/>
      <c r="E305" s="15" t="s">
        <v>280</v>
      </c>
      <c r="F305" s="15">
        <v>1.0</v>
      </c>
      <c r="G305" s="12">
        <v>150.0</v>
      </c>
      <c r="H305" s="77">
        <f t="shared" si="4"/>
        <v>150</v>
      </c>
      <c r="I305" s="78"/>
      <c r="J305" s="6"/>
      <c r="K305" s="6"/>
    </row>
    <row r="306">
      <c r="D306" s="6"/>
      <c r="E306" s="15" t="s">
        <v>281</v>
      </c>
      <c r="F306" s="15">
        <v>2.0</v>
      </c>
      <c r="G306" s="12">
        <v>800.0</v>
      </c>
      <c r="H306" s="77">
        <f t="shared" si="4"/>
        <v>1600</v>
      </c>
      <c r="I306" s="119" t="s">
        <v>282</v>
      </c>
      <c r="J306" s="6"/>
      <c r="K306" s="6"/>
    </row>
    <row r="307">
      <c r="D307" s="6"/>
      <c r="E307" s="15" t="s">
        <v>283</v>
      </c>
      <c r="F307" s="15">
        <v>2.0</v>
      </c>
      <c r="G307" s="12">
        <v>70.0</v>
      </c>
      <c r="H307" s="77">
        <f t="shared" si="4"/>
        <v>140</v>
      </c>
      <c r="I307" s="78"/>
      <c r="J307" s="6"/>
      <c r="K307" s="6"/>
    </row>
    <row r="308">
      <c r="D308" s="6"/>
      <c r="E308" s="15" t="s">
        <v>136</v>
      </c>
      <c r="F308" s="15">
        <v>1.0</v>
      </c>
      <c r="G308" s="12">
        <v>1000.0</v>
      </c>
      <c r="H308" s="77">
        <f t="shared" si="4"/>
        <v>1000</v>
      </c>
      <c r="I308" s="78"/>
      <c r="J308" s="6"/>
      <c r="K308" s="6"/>
    </row>
    <row r="309">
      <c r="D309" s="6"/>
      <c r="E309" s="15" t="s">
        <v>122</v>
      </c>
      <c r="F309" s="15">
        <v>25.0</v>
      </c>
      <c r="G309" s="12">
        <v>120.0</v>
      </c>
      <c r="H309" s="77">
        <f t="shared" si="4"/>
        <v>3000</v>
      </c>
      <c r="I309" s="78"/>
      <c r="J309" s="6"/>
      <c r="K309" s="6"/>
    </row>
    <row r="310">
      <c r="D310" s="6"/>
      <c r="E310" s="15" t="s">
        <v>284</v>
      </c>
      <c r="F310" s="15">
        <v>5.0</v>
      </c>
      <c r="G310" s="12">
        <v>200.0</v>
      </c>
      <c r="H310" s="77">
        <f t="shared" si="4"/>
        <v>1000</v>
      </c>
      <c r="I310" s="78"/>
      <c r="J310" s="6"/>
      <c r="K310" s="6"/>
    </row>
    <row r="311">
      <c r="D311" s="6"/>
      <c r="E311" s="15" t="s">
        <v>285</v>
      </c>
      <c r="F311" s="15">
        <v>2.0</v>
      </c>
      <c r="G311" s="12">
        <v>500.0</v>
      </c>
      <c r="H311" s="77">
        <f t="shared" si="4"/>
        <v>1000</v>
      </c>
      <c r="I311" s="78"/>
      <c r="J311" s="6"/>
      <c r="K311" s="6"/>
    </row>
    <row r="312">
      <c r="D312" s="6"/>
      <c r="E312" s="15" t="s">
        <v>286</v>
      </c>
      <c r="F312" s="15">
        <v>1.0</v>
      </c>
      <c r="G312" s="12">
        <v>400.0</v>
      </c>
      <c r="H312" s="77">
        <f t="shared" si="4"/>
        <v>400</v>
      </c>
      <c r="I312" s="78"/>
      <c r="J312" s="6"/>
      <c r="K312" s="6"/>
    </row>
    <row r="313">
      <c r="D313" s="6"/>
      <c r="E313" s="15" t="s">
        <v>287</v>
      </c>
      <c r="F313" s="15">
        <v>20.0</v>
      </c>
      <c r="G313" s="12">
        <v>120.0</v>
      </c>
      <c r="H313" s="77">
        <f t="shared" si="4"/>
        <v>2400</v>
      </c>
      <c r="I313" s="78"/>
      <c r="J313" s="6"/>
      <c r="K313" s="6"/>
    </row>
    <row r="314">
      <c r="D314" s="6"/>
      <c r="E314" s="15" t="s">
        <v>288</v>
      </c>
      <c r="F314" s="15">
        <v>20.0</v>
      </c>
      <c r="G314" s="12">
        <v>35.0</v>
      </c>
      <c r="H314" s="77">
        <f t="shared" si="4"/>
        <v>700</v>
      </c>
      <c r="I314" s="78"/>
      <c r="J314" s="6"/>
      <c r="K314" s="6"/>
    </row>
    <row r="315">
      <c r="D315" s="6"/>
      <c r="E315" s="15" t="s">
        <v>185</v>
      </c>
      <c r="F315" s="15">
        <v>1.0</v>
      </c>
      <c r="G315" s="12">
        <v>730.0</v>
      </c>
      <c r="H315" s="77">
        <f t="shared" si="4"/>
        <v>730</v>
      </c>
      <c r="I315" s="78"/>
      <c r="J315" s="6"/>
      <c r="K315" s="6"/>
    </row>
    <row r="316">
      <c r="D316" s="6"/>
      <c r="E316" s="76"/>
      <c r="F316" s="76"/>
      <c r="G316" s="11"/>
      <c r="H316" s="77">
        <f t="shared" si="4"/>
        <v>0</v>
      </c>
      <c r="I316" s="78"/>
      <c r="J316" s="6"/>
      <c r="K316" s="6"/>
    </row>
    <row r="317">
      <c r="D317" s="6"/>
      <c r="E317" s="76"/>
      <c r="F317" s="76"/>
      <c r="G317" s="11"/>
      <c r="H317" s="77">
        <f t="shared" si="4"/>
        <v>0</v>
      </c>
      <c r="I317" s="78"/>
      <c r="J317" s="6"/>
      <c r="K317" s="6"/>
    </row>
    <row r="318">
      <c r="D318" s="6"/>
      <c r="E318" s="76"/>
      <c r="F318" s="76"/>
      <c r="G318" s="11"/>
      <c r="H318" s="77">
        <f t="shared" si="4"/>
        <v>0</v>
      </c>
      <c r="I318" s="78"/>
      <c r="J318" s="6"/>
      <c r="K318" s="6"/>
    </row>
    <row r="319">
      <c r="D319" s="6"/>
      <c r="E319" s="76"/>
      <c r="F319" s="76"/>
      <c r="G319" s="11"/>
      <c r="H319" s="77">
        <f t="shared" si="4"/>
        <v>0</v>
      </c>
      <c r="I319" s="78"/>
      <c r="J319" s="6"/>
      <c r="K319" s="6"/>
    </row>
    <row r="320">
      <c r="D320" s="6"/>
      <c r="E320" s="76"/>
      <c r="F320" s="76"/>
      <c r="G320" s="11"/>
      <c r="H320" s="77">
        <f t="shared" si="4"/>
        <v>0</v>
      </c>
      <c r="I320" s="78"/>
      <c r="J320" s="6"/>
      <c r="K320" s="6"/>
    </row>
    <row r="321">
      <c r="D321" s="6"/>
      <c r="E321" s="76"/>
      <c r="F321" s="76"/>
      <c r="G321" s="11"/>
      <c r="H321" s="77">
        <f t="shared" si="4"/>
        <v>0</v>
      </c>
      <c r="I321" s="78"/>
      <c r="J321" s="6"/>
      <c r="K321" s="6"/>
    </row>
    <row r="322">
      <c r="D322" s="6"/>
      <c r="E322" s="76"/>
      <c r="F322" s="76"/>
      <c r="G322" s="11"/>
      <c r="H322" s="77">
        <f t="shared" si="4"/>
        <v>0</v>
      </c>
      <c r="I322" s="78"/>
      <c r="J322" s="6"/>
      <c r="K322" s="6"/>
    </row>
    <row r="323">
      <c r="D323" s="6"/>
      <c r="E323" s="76"/>
      <c r="F323" s="76"/>
      <c r="G323" s="11"/>
      <c r="H323" s="77">
        <f t="shared" si="4"/>
        <v>0</v>
      </c>
      <c r="I323" s="78"/>
      <c r="J323" s="6"/>
      <c r="K323" s="6"/>
    </row>
    <row r="324">
      <c r="D324" s="6"/>
      <c r="E324" s="76"/>
      <c r="F324" s="76"/>
      <c r="G324" s="11"/>
      <c r="H324" s="77">
        <f t="shared" si="4"/>
        <v>0</v>
      </c>
      <c r="I324" s="78"/>
      <c r="J324" s="6"/>
      <c r="K324" s="6"/>
    </row>
    <row r="325">
      <c r="D325" s="6"/>
      <c r="E325" s="76"/>
      <c r="F325" s="76"/>
      <c r="G325" s="11"/>
      <c r="H325" s="77">
        <f t="shared" si="4"/>
        <v>0</v>
      </c>
      <c r="I325" s="78"/>
      <c r="J325" s="6"/>
      <c r="K325" s="6"/>
    </row>
    <row r="326">
      <c r="D326" s="6"/>
      <c r="E326" s="76"/>
      <c r="F326" s="76"/>
      <c r="G326" s="11"/>
      <c r="H326" s="77">
        <f t="shared" si="4"/>
        <v>0</v>
      </c>
      <c r="I326" s="78"/>
      <c r="J326" s="6"/>
      <c r="K326" s="6"/>
    </row>
    <row r="327">
      <c r="D327" s="6"/>
      <c r="E327" s="76"/>
      <c r="F327" s="76"/>
      <c r="G327" s="11"/>
      <c r="H327" s="77">
        <f t="shared" si="4"/>
        <v>0</v>
      </c>
      <c r="I327" s="78"/>
      <c r="J327" s="6"/>
      <c r="K327" s="6"/>
    </row>
    <row r="328">
      <c r="D328" s="6"/>
      <c r="E328" s="76"/>
      <c r="F328" s="76"/>
      <c r="G328" s="11"/>
      <c r="H328" s="77">
        <f t="shared" si="4"/>
        <v>0</v>
      </c>
      <c r="I328" s="78"/>
      <c r="J328" s="6"/>
      <c r="K328" s="6"/>
    </row>
    <row r="329">
      <c r="D329" s="6"/>
      <c r="E329" s="76"/>
      <c r="F329" s="76"/>
      <c r="G329" s="11"/>
      <c r="H329" s="77">
        <f t="shared" si="4"/>
        <v>0</v>
      </c>
      <c r="I329" s="78"/>
      <c r="J329" s="6"/>
      <c r="K329" s="6"/>
    </row>
    <row r="330">
      <c r="D330" s="6"/>
      <c r="E330" s="76"/>
      <c r="F330" s="76"/>
      <c r="G330" s="11"/>
      <c r="H330" s="77">
        <f t="shared" si="4"/>
        <v>0</v>
      </c>
      <c r="I330" s="78"/>
      <c r="J330" s="6"/>
      <c r="K330" s="6"/>
    </row>
    <row r="331">
      <c r="D331" s="6"/>
      <c r="E331" s="15" t="s">
        <v>289</v>
      </c>
      <c r="F331" s="15">
        <v>2.0</v>
      </c>
      <c r="G331" s="12">
        <v>350.0</v>
      </c>
      <c r="H331" s="77">
        <f t="shared" si="4"/>
        <v>700</v>
      </c>
      <c r="I331" s="78"/>
      <c r="J331" s="6"/>
      <c r="K331" s="6"/>
    </row>
    <row r="332">
      <c r="D332" s="6"/>
      <c r="E332" s="15" t="s">
        <v>290</v>
      </c>
      <c r="F332" s="15">
        <v>1.0</v>
      </c>
      <c r="G332" s="12">
        <v>150.0</v>
      </c>
      <c r="H332" s="77">
        <f t="shared" si="4"/>
        <v>150</v>
      </c>
      <c r="I332" s="78"/>
      <c r="J332" s="6"/>
      <c r="K332" s="6"/>
    </row>
    <row r="333">
      <c r="D333" s="6"/>
      <c r="E333" s="15" t="s">
        <v>291</v>
      </c>
      <c r="F333" s="15">
        <v>100.0</v>
      </c>
      <c r="G333" s="12">
        <v>13.0</v>
      </c>
      <c r="H333" s="77">
        <f t="shared" si="4"/>
        <v>1300</v>
      </c>
      <c r="I333" s="78"/>
      <c r="J333" s="6"/>
      <c r="K333" s="6"/>
    </row>
    <row r="334">
      <c r="D334" s="6"/>
      <c r="E334" s="15" t="s">
        <v>292</v>
      </c>
      <c r="F334" s="15">
        <v>334.0</v>
      </c>
      <c r="G334" s="12">
        <v>60.0</v>
      </c>
      <c r="H334" s="77">
        <f t="shared" si="4"/>
        <v>20040</v>
      </c>
      <c r="I334" s="78"/>
      <c r="J334" s="6"/>
      <c r="K334" s="6"/>
    </row>
    <row r="335">
      <c r="D335" s="6"/>
      <c r="E335" s="15" t="s">
        <v>293</v>
      </c>
      <c r="F335" s="15">
        <v>30.0</v>
      </c>
      <c r="G335" s="12">
        <v>69.0</v>
      </c>
      <c r="H335" s="77">
        <f t="shared" si="4"/>
        <v>2070</v>
      </c>
      <c r="I335" s="78"/>
      <c r="J335" s="6"/>
      <c r="K335" s="6"/>
    </row>
    <row r="336">
      <c r="D336" s="6"/>
      <c r="E336" s="15" t="s">
        <v>294</v>
      </c>
      <c r="F336" s="15">
        <v>25.0</v>
      </c>
      <c r="G336" s="12">
        <v>60.0</v>
      </c>
      <c r="H336" s="77">
        <f t="shared" si="4"/>
        <v>1500</v>
      </c>
      <c r="I336" s="78"/>
      <c r="J336" s="6"/>
      <c r="K336" s="6"/>
    </row>
    <row r="337">
      <c r="D337" s="6"/>
      <c r="E337" s="15" t="s">
        <v>72</v>
      </c>
      <c r="F337" s="15">
        <v>20.0</v>
      </c>
      <c r="G337" s="12">
        <v>32.0</v>
      </c>
      <c r="H337" s="77">
        <f t="shared" si="4"/>
        <v>640</v>
      </c>
      <c r="I337" s="78"/>
      <c r="J337" s="6"/>
      <c r="K337" s="6"/>
    </row>
    <row r="338">
      <c r="D338" s="6"/>
      <c r="E338" s="15" t="s">
        <v>295</v>
      </c>
      <c r="F338" s="15">
        <v>2.0</v>
      </c>
      <c r="G338" s="12">
        <v>850.0</v>
      </c>
      <c r="H338" s="77">
        <f t="shared" si="4"/>
        <v>1700</v>
      </c>
      <c r="I338" s="78"/>
      <c r="J338" s="6"/>
      <c r="K338" s="6"/>
    </row>
    <row r="339">
      <c r="D339" s="6"/>
      <c r="E339" s="15" t="s">
        <v>296</v>
      </c>
      <c r="F339" s="15">
        <v>1.0</v>
      </c>
      <c r="G339" s="12">
        <v>900.0</v>
      </c>
      <c r="H339" s="77">
        <f t="shared" si="4"/>
        <v>900</v>
      </c>
      <c r="I339" s="78"/>
      <c r="J339" s="6"/>
      <c r="K339" s="6"/>
    </row>
    <row r="340">
      <c r="D340" s="6"/>
      <c r="E340" s="76" t="s">
        <v>297</v>
      </c>
      <c r="F340" s="76">
        <v>2.0</v>
      </c>
      <c r="G340" s="11">
        <v>400.0</v>
      </c>
      <c r="H340" s="85">
        <f t="shared" si="4"/>
        <v>800</v>
      </c>
      <c r="I340" s="78"/>
      <c r="J340" s="6"/>
      <c r="K340" s="6"/>
    </row>
    <row r="341">
      <c r="D341" s="6"/>
      <c r="E341" s="76" t="s">
        <v>298</v>
      </c>
      <c r="F341" s="76">
        <v>2.0</v>
      </c>
      <c r="G341" s="11">
        <v>100.0</v>
      </c>
      <c r="H341" s="85">
        <f t="shared" si="4"/>
        <v>200</v>
      </c>
      <c r="I341" s="78"/>
      <c r="J341" s="6"/>
      <c r="K341" s="6"/>
    </row>
    <row r="342">
      <c r="D342" s="6"/>
      <c r="E342" s="76" t="s">
        <v>299</v>
      </c>
      <c r="F342" s="15">
        <v>50.0</v>
      </c>
      <c r="G342" s="11">
        <v>15.0</v>
      </c>
      <c r="H342" s="85">
        <f t="shared" si="4"/>
        <v>750</v>
      </c>
      <c r="I342" s="78"/>
      <c r="J342" s="6"/>
      <c r="K342" s="6"/>
    </row>
    <row r="343">
      <c r="D343" s="6"/>
      <c r="E343" s="76" t="s">
        <v>296</v>
      </c>
      <c r="F343" s="76">
        <v>1.0</v>
      </c>
      <c r="G343" s="11">
        <v>1500.0</v>
      </c>
      <c r="H343" s="85">
        <f t="shared" si="4"/>
        <v>1500</v>
      </c>
      <c r="I343" s="78"/>
      <c r="J343" s="6"/>
      <c r="K343" s="6"/>
    </row>
    <row r="344">
      <c r="D344" s="6"/>
      <c r="E344" s="76" t="s">
        <v>300</v>
      </c>
      <c r="F344" s="76">
        <v>1.0</v>
      </c>
      <c r="G344" s="11">
        <v>900.0</v>
      </c>
      <c r="H344" s="85">
        <f t="shared" si="4"/>
        <v>900</v>
      </c>
      <c r="I344" s="78"/>
      <c r="J344" s="6"/>
      <c r="K344" s="6"/>
    </row>
    <row r="345">
      <c r="D345" s="6"/>
      <c r="E345" s="95" t="s">
        <v>301</v>
      </c>
      <c r="F345" s="95">
        <v>2.0</v>
      </c>
      <c r="G345" s="98">
        <v>750.0</v>
      </c>
      <c r="H345" s="77">
        <f t="shared" si="4"/>
        <v>1500</v>
      </c>
      <c r="I345" s="78"/>
      <c r="J345" s="6"/>
      <c r="K345" s="6"/>
    </row>
    <row r="346">
      <c r="D346" s="6"/>
      <c r="E346" s="95" t="s">
        <v>302</v>
      </c>
      <c r="F346" s="95">
        <v>1.0</v>
      </c>
      <c r="G346" s="98">
        <v>500.0</v>
      </c>
      <c r="H346" s="77">
        <f t="shared" si="4"/>
        <v>500</v>
      </c>
      <c r="I346" s="78"/>
      <c r="J346" s="6"/>
      <c r="K346" s="6"/>
    </row>
    <row r="347">
      <c r="D347" s="6"/>
      <c r="E347" s="76" t="s">
        <v>303</v>
      </c>
      <c r="F347" s="15">
        <v>30.0</v>
      </c>
      <c r="G347" s="11">
        <v>44.0</v>
      </c>
      <c r="H347" s="77">
        <f t="shared" si="4"/>
        <v>1320</v>
      </c>
      <c r="I347" s="78"/>
      <c r="J347" s="6"/>
      <c r="K347" s="6"/>
    </row>
    <row r="348">
      <c r="D348" s="6"/>
      <c r="E348" s="76" t="s">
        <v>304</v>
      </c>
      <c r="F348" s="76">
        <v>40.0</v>
      </c>
      <c r="G348" s="11">
        <v>41.0</v>
      </c>
      <c r="H348" s="77">
        <f t="shared" si="4"/>
        <v>1640</v>
      </c>
      <c r="I348" s="78"/>
      <c r="J348" s="6"/>
      <c r="K348" s="6"/>
    </row>
    <row r="349">
      <c r="D349" s="6"/>
      <c r="E349" s="76" t="s">
        <v>305</v>
      </c>
      <c r="F349" s="15">
        <v>35.0</v>
      </c>
      <c r="G349" s="11">
        <v>37.0</v>
      </c>
      <c r="H349" s="77">
        <f t="shared" si="4"/>
        <v>1295</v>
      </c>
      <c r="I349" s="78"/>
      <c r="J349" s="6"/>
      <c r="K349" s="6"/>
    </row>
    <row r="350">
      <c r="D350" s="6"/>
      <c r="E350" s="76" t="s">
        <v>306</v>
      </c>
      <c r="F350" s="15">
        <v>30.0</v>
      </c>
      <c r="G350" s="11">
        <v>11.0</v>
      </c>
      <c r="H350" s="77">
        <f t="shared" si="4"/>
        <v>330</v>
      </c>
      <c r="I350" s="78"/>
      <c r="J350" s="6"/>
      <c r="K350" s="6"/>
    </row>
    <row r="351">
      <c r="D351" s="6"/>
      <c r="E351" s="76" t="s">
        <v>307</v>
      </c>
      <c r="F351" s="76">
        <v>100.0</v>
      </c>
      <c r="G351" s="11">
        <v>35.0</v>
      </c>
      <c r="H351" s="85">
        <f t="shared" si="4"/>
        <v>3500</v>
      </c>
      <c r="I351" s="78"/>
      <c r="J351" s="6"/>
      <c r="K351" s="6"/>
    </row>
    <row r="352">
      <c r="D352" s="6"/>
      <c r="E352" s="76" t="s">
        <v>308</v>
      </c>
      <c r="F352" s="15">
        <v>40.0</v>
      </c>
      <c r="G352" s="11">
        <v>20.0</v>
      </c>
      <c r="H352" s="85">
        <f t="shared" si="4"/>
        <v>800</v>
      </c>
      <c r="I352" s="78"/>
      <c r="J352" s="6"/>
      <c r="K352" s="6"/>
    </row>
    <row r="353">
      <c r="D353" s="6"/>
      <c r="E353" s="76" t="s">
        <v>309</v>
      </c>
      <c r="F353" s="15">
        <v>10.0</v>
      </c>
      <c r="G353" s="11">
        <v>10.0</v>
      </c>
      <c r="H353" s="85">
        <f t="shared" si="4"/>
        <v>100</v>
      </c>
      <c r="I353" s="78"/>
      <c r="J353" s="6"/>
      <c r="K353" s="6"/>
    </row>
    <row r="354">
      <c r="D354" s="6"/>
      <c r="E354" s="76" t="s">
        <v>310</v>
      </c>
      <c r="F354" s="15">
        <v>2.0</v>
      </c>
      <c r="G354" s="11">
        <v>1450.0</v>
      </c>
      <c r="H354" s="85">
        <f t="shared" si="4"/>
        <v>2900</v>
      </c>
      <c r="I354" s="78"/>
      <c r="J354" s="6"/>
      <c r="K354" s="6"/>
    </row>
    <row r="355">
      <c r="D355" s="6"/>
      <c r="E355" s="76" t="s">
        <v>311</v>
      </c>
      <c r="F355" s="15">
        <v>100.0</v>
      </c>
      <c r="G355" s="11">
        <v>33.0</v>
      </c>
      <c r="H355" s="85">
        <f t="shared" si="4"/>
        <v>3300</v>
      </c>
      <c r="I355" s="78"/>
      <c r="J355" s="6"/>
      <c r="K355" s="6"/>
    </row>
    <row r="356">
      <c r="D356" s="6"/>
      <c r="E356" s="76" t="s">
        <v>312</v>
      </c>
      <c r="F356" s="15">
        <v>200.0</v>
      </c>
      <c r="G356" s="11">
        <v>27.0</v>
      </c>
      <c r="H356" s="85">
        <f t="shared" si="4"/>
        <v>5400</v>
      </c>
      <c r="I356" s="78"/>
      <c r="J356" s="6"/>
      <c r="K356" s="6"/>
    </row>
    <row r="357">
      <c r="D357" s="6"/>
      <c r="E357" s="76" t="s">
        <v>313</v>
      </c>
      <c r="F357" s="15">
        <v>150.0</v>
      </c>
      <c r="G357" s="11">
        <v>21.0</v>
      </c>
      <c r="H357" s="85">
        <f t="shared" si="4"/>
        <v>3150</v>
      </c>
      <c r="I357" s="78"/>
      <c r="J357" s="6"/>
      <c r="K357" s="6"/>
    </row>
    <row r="358">
      <c r="D358" s="6"/>
      <c r="E358" s="76" t="s">
        <v>314</v>
      </c>
      <c r="F358" s="15">
        <v>150.0</v>
      </c>
      <c r="G358" s="11">
        <v>20.0</v>
      </c>
      <c r="H358" s="85">
        <f t="shared" si="4"/>
        <v>3000</v>
      </c>
      <c r="I358" s="78"/>
      <c r="J358" s="6"/>
      <c r="K358" s="6"/>
    </row>
    <row r="359">
      <c r="D359" s="6"/>
      <c r="E359" s="35" t="s">
        <v>315</v>
      </c>
      <c r="F359" s="80">
        <v>390.0</v>
      </c>
      <c r="G359" s="121">
        <v>13.7</v>
      </c>
      <c r="H359" s="122">
        <f t="shared" si="4"/>
        <v>5343</v>
      </c>
      <c r="I359" s="83"/>
      <c r="J359" s="6"/>
      <c r="K359" s="6"/>
    </row>
    <row r="360">
      <c r="D360" s="6"/>
      <c r="E360" s="76" t="s">
        <v>316</v>
      </c>
      <c r="F360" s="15">
        <v>90.0</v>
      </c>
      <c r="G360" s="11">
        <v>10.5</v>
      </c>
      <c r="H360" s="85">
        <f t="shared" si="4"/>
        <v>945</v>
      </c>
      <c r="I360" s="78"/>
      <c r="J360" s="6"/>
      <c r="K360" s="6"/>
    </row>
    <row r="361">
      <c r="D361" s="6"/>
      <c r="E361" s="76" t="s">
        <v>317</v>
      </c>
      <c r="F361" s="15">
        <v>2.0</v>
      </c>
      <c r="G361" s="11">
        <v>9.5</v>
      </c>
      <c r="H361" s="85">
        <f t="shared" si="4"/>
        <v>19</v>
      </c>
      <c r="I361" s="78"/>
      <c r="J361" s="6"/>
      <c r="K361" s="6"/>
    </row>
    <row r="362">
      <c r="D362" s="6"/>
      <c r="E362" s="76" t="s">
        <v>318</v>
      </c>
      <c r="F362" s="15">
        <v>200.0</v>
      </c>
      <c r="G362" s="11">
        <v>33.0</v>
      </c>
      <c r="H362" s="77">
        <f t="shared" si="4"/>
        <v>6600</v>
      </c>
      <c r="I362" s="78"/>
      <c r="J362" s="6"/>
      <c r="K362" s="6"/>
    </row>
    <row r="363">
      <c r="D363" s="6"/>
      <c r="E363" s="111" t="s">
        <v>319</v>
      </c>
      <c r="F363" s="111">
        <v>4.0</v>
      </c>
      <c r="G363" s="112">
        <v>11750.0</v>
      </c>
      <c r="H363" s="113">
        <f t="shared" si="4"/>
        <v>47000</v>
      </c>
      <c r="I363" s="119" t="s">
        <v>320</v>
      </c>
      <c r="J363" s="6"/>
      <c r="K363" s="6"/>
    </row>
    <row r="364">
      <c r="D364" s="6"/>
      <c r="E364" s="15" t="s">
        <v>321</v>
      </c>
      <c r="F364" s="90">
        <v>500.0</v>
      </c>
      <c r="G364" s="63">
        <v>60.0</v>
      </c>
      <c r="H364" s="85">
        <f t="shared" si="4"/>
        <v>30000</v>
      </c>
      <c r="I364" s="78"/>
      <c r="J364" s="6"/>
      <c r="K364" s="6"/>
    </row>
    <row r="365">
      <c r="D365" s="6"/>
      <c r="E365" s="123" t="s">
        <v>322</v>
      </c>
      <c r="F365" s="123">
        <v>1.0</v>
      </c>
      <c r="G365" s="124">
        <v>5320.0</v>
      </c>
      <c r="H365" s="125">
        <f t="shared" si="4"/>
        <v>5320</v>
      </c>
      <c r="I365" s="126"/>
      <c r="J365" s="6"/>
      <c r="K365" s="6"/>
    </row>
    <row r="366">
      <c r="D366" s="6"/>
      <c r="E366" s="15" t="s">
        <v>323</v>
      </c>
      <c r="F366" s="15">
        <v>1.0</v>
      </c>
      <c r="G366" s="12">
        <v>2000.0</v>
      </c>
      <c r="H366" s="77">
        <f t="shared" si="4"/>
        <v>2000</v>
      </c>
      <c r="I366" s="78"/>
      <c r="J366" s="6"/>
      <c r="K366" s="6"/>
    </row>
    <row r="367">
      <c r="D367" s="6"/>
      <c r="E367" s="76" t="s">
        <v>324</v>
      </c>
      <c r="F367" s="76">
        <v>1.0</v>
      </c>
      <c r="G367" s="11">
        <v>5000.0</v>
      </c>
      <c r="H367" s="85">
        <f t="shared" si="4"/>
        <v>5000</v>
      </c>
      <c r="I367" s="78"/>
      <c r="J367" s="6"/>
      <c r="K367" s="6"/>
    </row>
    <row r="368">
      <c r="D368" s="6"/>
      <c r="E368" s="127"/>
      <c r="F368" s="128"/>
      <c r="G368" s="129"/>
      <c r="H368" s="130">
        <f>SUM(H4:H367)</f>
        <v>800080.1</v>
      </c>
      <c r="I368" s="131"/>
      <c r="J368" s="6"/>
      <c r="K368" s="6"/>
    </row>
    <row r="369">
      <c r="D369" s="6"/>
      <c r="E369" s="16"/>
      <c r="F369" s="6"/>
      <c r="G369" s="6"/>
      <c r="H369" s="6"/>
      <c r="I369" s="6"/>
      <c r="J369" s="6"/>
      <c r="K369" s="6"/>
    </row>
    <row r="370">
      <c r="D370" s="6"/>
      <c r="E370" s="16"/>
      <c r="F370" s="6"/>
      <c r="G370" s="6"/>
      <c r="H370" s="6"/>
      <c r="I370" s="6"/>
      <c r="J370" s="6"/>
      <c r="K370" s="6"/>
    </row>
    <row r="371">
      <c r="D371" s="6"/>
      <c r="E371" s="6"/>
      <c r="F371" s="6"/>
      <c r="G371" s="6"/>
      <c r="H371" s="6"/>
      <c r="I371" s="6"/>
      <c r="J371" s="6"/>
      <c r="K371" s="6"/>
    </row>
    <row r="372">
      <c r="D372" s="6"/>
      <c r="E372" s="6"/>
      <c r="F372" s="6"/>
      <c r="G372" s="6"/>
      <c r="H372" s="6"/>
      <c r="I372" s="6"/>
      <c r="J372" s="6"/>
      <c r="K372" s="6"/>
    </row>
    <row r="373">
      <c r="D373" s="6"/>
      <c r="E373" s="6"/>
      <c r="F373" s="6"/>
      <c r="G373" s="6"/>
      <c r="H373" s="6"/>
      <c r="I373" s="6"/>
      <c r="J373" s="6"/>
      <c r="K373" s="6"/>
    </row>
    <row r="374">
      <c r="D374" s="6"/>
      <c r="E374" s="6"/>
      <c r="F374" s="6"/>
      <c r="G374" s="6"/>
      <c r="H374" s="6"/>
      <c r="I374" s="6"/>
      <c r="J374" s="6"/>
      <c r="K374" s="6"/>
    </row>
    <row r="375">
      <c r="D375" s="6"/>
      <c r="E375" s="6"/>
      <c r="F375" s="6"/>
      <c r="G375" s="6"/>
      <c r="H375" s="6"/>
      <c r="I375" s="6"/>
      <c r="J375" s="6"/>
      <c r="K375" s="6"/>
    </row>
    <row r="376">
      <c r="D376" s="6"/>
      <c r="E376" s="6"/>
      <c r="F376" s="6"/>
      <c r="G376" s="6"/>
      <c r="H376" s="6"/>
      <c r="I376" s="6"/>
      <c r="J376" s="6"/>
      <c r="K376" s="6"/>
    </row>
    <row r="377">
      <c r="D377" s="6"/>
      <c r="E377" s="6"/>
      <c r="F377" s="6"/>
      <c r="G377" s="6"/>
      <c r="H377" s="6"/>
      <c r="I377" s="6"/>
      <c r="J377" s="6"/>
      <c r="K377" s="6"/>
    </row>
    <row r="378">
      <c r="D378" s="6"/>
      <c r="E378" s="6"/>
      <c r="F378" s="6"/>
      <c r="G378" s="6"/>
      <c r="H378" s="6"/>
      <c r="I378" s="6"/>
      <c r="J378" s="6"/>
      <c r="K378" s="6"/>
    </row>
    <row r="379">
      <c r="D379" s="6"/>
      <c r="E379" s="6"/>
      <c r="F379" s="6"/>
      <c r="G379" s="6"/>
      <c r="H379" s="6"/>
      <c r="I379" s="6"/>
      <c r="J379" s="6"/>
      <c r="K379" s="6"/>
    </row>
    <row r="380">
      <c r="D380" s="6"/>
      <c r="E380" s="6"/>
      <c r="F380" s="6"/>
      <c r="G380" s="6"/>
      <c r="H380" s="6"/>
      <c r="I380" s="6"/>
      <c r="J380" s="6"/>
      <c r="K380" s="6"/>
    </row>
    <row r="381">
      <c r="D381" s="6"/>
      <c r="E381" s="6"/>
      <c r="F381" s="6"/>
      <c r="G381" s="6"/>
      <c r="H381" s="6"/>
      <c r="I381" s="6"/>
      <c r="J381" s="6"/>
      <c r="K381" s="6"/>
    </row>
    <row r="382">
      <c r="D382" s="6"/>
      <c r="E382" s="6"/>
      <c r="F382" s="6"/>
      <c r="G382" s="6"/>
      <c r="H382" s="6"/>
      <c r="I382" s="6"/>
      <c r="J382" s="6"/>
      <c r="K382" s="6"/>
    </row>
    <row r="383">
      <c r="D383" s="6"/>
      <c r="E383" s="6"/>
      <c r="F383" s="6"/>
      <c r="G383" s="6"/>
      <c r="H383" s="6"/>
      <c r="I383" s="6"/>
      <c r="J383" s="6"/>
      <c r="K383" s="6"/>
    </row>
    <row r="384">
      <c r="D384" s="6"/>
      <c r="E384" s="6"/>
      <c r="F384" s="6"/>
      <c r="G384" s="6"/>
      <c r="H384" s="6"/>
      <c r="I384" s="6"/>
      <c r="J384" s="6"/>
      <c r="K384" s="6"/>
    </row>
    <row r="385">
      <c r="D385" s="6"/>
      <c r="E385" s="6"/>
      <c r="F385" s="6"/>
      <c r="G385" s="6"/>
      <c r="H385" s="6"/>
      <c r="I385" s="6"/>
      <c r="J385" s="6"/>
      <c r="K385" s="6"/>
    </row>
    <row r="386">
      <c r="D386" s="6"/>
      <c r="E386" s="6"/>
      <c r="F386" s="6"/>
      <c r="G386" s="6"/>
      <c r="H386" s="6"/>
      <c r="I386" s="6"/>
      <c r="J386" s="6"/>
      <c r="K386" s="6"/>
    </row>
    <row r="387">
      <c r="D387" s="6"/>
      <c r="E387" s="6"/>
      <c r="F387" s="6"/>
      <c r="G387" s="6"/>
      <c r="H387" s="6"/>
      <c r="I387" s="6"/>
      <c r="J387" s="6"/>
      <c r="K387" s="6"/>
    </row>
    <row r="388">
      <c r="D388" s="6"/>
      <c r="E388" s="6"/>
      <c r="F388" s="6"/>
      <c r="G388" s="6"/>
      <c r="H388" s="6"/>
      <c r="I388" s="6"/>
      <c r="J388" s="6"/>
      <c r="K388" s="6"/>
    </row>
    <row r="389">
      <c r="D389" s="6"/>
      <c r="E389" s="6"/>
      <c r="F389" s="6"/>
      <c r="G389" s="6"/>
      <c r="H389" s="6"/>
      <c r="I389" s="6"/>
      <c r="J389" s="6"/>
      <c r="K389" s="6"/>
    </row>
    <row r="390">
      <c r="D390" s="6"/>
      <c r="E390" s="6"/>
      <c r="F390" s="6"/>
      <c r="G390" s="6"/>
      <c r="H390" s="6"/>
      <c r="I390" s="6"/>
      <c r="J390" s="6"/>
      <c r="K390" s="6"/>
    </row>
    <row r="391">
      <c r="D391" s="6"/>
      <c r="E391" s="6"/>
      <c r="F391" s="6"/>
      <c r="G391" s="6"/>
      <c r="H391" s="6"/>
      <c r="I391" s="6"/>
      <c r="J391" s="6"/>
      <c r="K391" s="6"/>
    </row>
    <row r="392">
      <c r="D392" s="6"/>
      <c r="E392" s="6"/>
      <c r="F392" s="6"/>
      <c r="G392" s="6"/>
      <c r="H392" s="6"/>
      <c r="I392" s="6"/>
      <c r="J392" s="6"/>
      <c r="K392" s="6"/>
    </row>
    <row r="393">
      <c r="D393" s="6"/>
      <c r="E393" s="6"/>
      <c r="F393" s="6"/>
      <c r="G393" s="6"/>
      <c r="H393" s="6"/>
      <c r="I393" s="6"/>
      <c r="J393" s="6"/>
      <c r="K393" s="6"/>
    </row>
    <row r="394">
      <c r="D394" s="6"/>
      <c r="E394" s="6"/>
      <c r="F394" s="6"/>
      <c r="G394" s="6"/>
      <c r="H394" s="6"/>
      <c r="I394" s="6"/>
      <c r="J394" s="6"/>
      <c r="K394" s="6"/>
    </row>
    <row r="395">
      <c r="D395" s="6"/>
      <c r="E395" s="6"/>
      <c r="F395" s="6"/>
      <c r="G395" s="6"/>
      <c r="H395" s="6"/>
      <c r="I395" s="6"/>
      <c r="J395" s="6"/>
      <c r="K395" s="6"/>
    </row>
    <row r="396">
      <c r="D396" s="6"/>
      <c r="E396" s="6"/>
      <c r="F396" s="6"/>
      <c r="G396" s="6"/>
      <c r="H396" s="6"/>
      <c r="I396" s="6"/>
      <c r="J396" s="6"/>
      <c r="K396" s="6"/>
    </row>
  </sheetData>
  <mergeCells count="4">
    <mergeCell ref="D37:D48"/>
    <mergeCell ref="I46:I48"/>
    <mergeCell ref="I107:I109"/>
    <mergeCell ref="I123:I1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24.63"/>
    <col customWidth="1" min="3" max="3" width="19.88"/>
    <col customWidth="1" min="4" max="4" width="20.13"/>
    <col customWidth="1" min="5" max="5" width="19.13"/>
    <col customWidth="1" min="6" max="6" width="19.88"/>
    <col customWidth="1" min="7" max="7" width="25.38"/>
    <col customWidth="1" min="8" max="8" width="19.38"/>
    <col customWidth="1" min="9" max="9" width="19.13"/>
    <col customWidth="1" min="10" max="10" width="19.38"/>
    <col customWidth="1" min="11" max="11" width="30.63"/>
    <col customWidth="1" min="12" max="13" width="21.13"/>
    <col customWidth="1" min="14" max="14" width="20.63"/>
    <col customWidth="1" min="15" max="15" width="19.63"/>
    <col customWidth="1" min="16" max="16" width="21.38"/>
    <col customWidth="1" min="17" max="17" width="28.13"/>
    <col customWidth="1" min="18" max="18" width="207.13"/>
  </cols>
  <sheetData>
    <row r="1">
      <c r="A1" s="1"/>
      <c r="B1" s="2" t="s">
        <v>0</v>
      </c>
      <c r="C1" s="132" t="s">
        <v>325</v>
      </c>
      <c r="D1" s="132" t="s">
        <v>326</v>
      </c>
      <c r="E1" s="132" t="s">
        <v>327</v>
      </c>
      <c r="F1" s="132" t="s">
        <v>328</v>
      </c>
      <c r="G1" s="132" t="s">
        <v>329</v>
      </c>
      <c r="H1" s="132" t="s">
        <v>330</v>
      </c>
      <c r="I1" s="132" t="s">
        <v>331</v>
      </c>
      <c r="J1" s="132" t="s">
        <v>332</v>
      </c>
      <c r="K1" s="132" t="s">
        <v>333</v>
      </c>
      <c r="L1" s="132" t="s">
        <v>334</v>
      </c>
      <c r="M1" s="133" t="s">
        <v>328</v>
      </c>
      <c r="N1" s="132" t="s">
        <v>335</v>
      </c>
      <c r="O1" s="133" t="s">
        <v>336</v>
      </c>
      <c r="P1" s="133" t="s">
        <v>337</v>
      </c>
      <c r="Q1" s="134" t="s">
        <v>338</v>
      </c>
      <c r="R1" s="58"/>
    </row>
    <row r="2">
      <c r="A2" s="9" t="s">
        <v>11</v>
      </c>
      <c r="B2" s="10">
        <v>45778.0</v>
      </c>
      <c r="C2" s="135">
        <v>0.0</v>
      </c>
      <c r="D2" s="135">
        <v>1.0</v>
      </c>
      <c r="E2" s="135">
        <v>1.0</v>
      </c>
      <c r="F2" s="135">
        <v>1.0</v>
      </c>
      <c r="G2" s="135">
        <v>0.0</v>
      </c>
      <c r="H2" s="135">
        <v>1.0</v>
      </c>
      <c r="I2" s="135">
        <v>8.66</v>
      </c>
      <c r="J2" s="135">
        <v>0.0</v>
      </c>
      <c r="K2" s="135">
        <v>1.0</v>
      </c>
      <c r="L2" s="135">
        <v>1.0</v>
      </c>
      <c r="M2" s="135">
        <v>0.0</v>
      </c>
      <c r="N2" s="136">
        <v>1.0</v>
      </c>
      <c r="O2" s="135">
        <v>0.0</v>
      </c>
      <c r="P2" s="135">
        <v>1.0</v>
      </c>
      <c r="Q2" s="135">
        <v>0.0</v>
      </c>
      <c r="R2" s="137"/>
    </row>
    <row r="3">
      <c r="A3" s="18" t="s">
        <v>12</v>
      </c>
      <c r="B3" s="19">
        <v>45779.0</v>
      </c>
      <c r="C3" s="138">
        <v>0.0</v>
      </c>
      <c r="D3" s="138">
        <v>1.0</v>
      </c>
      <c r="E3" s="138">
        <v>1.0</v>
      </c>
      <c r="F3" s="138">
        <v>0.0</v>
      </c>
      <c r="G3" s="138">
        <v>0.0</v>
      </c>
      <c r="H3" s="138">
        <v>1.0</v>
      </c>
      <c r="I3" s="138">
        <v>1.0</v>
      </c>
      <c r="J3" s="138">
        <v>0.0</v>
      </c>
      <c r="K3" s="138">
        <v>0.0</v>
      </c>
      <c r="L3" s="138">
        <v>0.0</v>
      </c>
      <c r="M3" s="138">
        <v>0.0</v>
      </c>
      <c r="N3" s="139">
        <v>1.0</v>
      </c>
      <c r="O3" s="138">
        <v>0.0</v>
      </c>
      <c r="P3" s="138">
        <v>1.0</v>
      </c>
      <c r="Q3" s="138">
        <v>0.0</v>
      </c>
      <c r="R3" s="140"/>
      <c r="S3" s="141"/>
      <c r="T3" s="141"/>
    </row>
    <row r="4">
      <c r="A4" s="9" t="s">
        <v>17</v>
      </c>
      <c r="B4" s="10">
        <v>45780.0</v>
      </c>
      <c r="C4" s="135">
        <v>1.0</v>
      </c>
      <c r="D4" s="135">
        <v>1.0</v>
      </c>
      <c r="E4" s="135">
        <v>0.0</v>
      </c>
      <c r="F4" s="135">
        <v>1.0</v>
      </c>
      <c r="G4" s="135">
        <v>0.0</v>
      </c>
      <c r="H4" s="135">
        <v>1.0</v>
      </c>
      <c r="I4" s="135">
        <v>0.0</v>
      </c>
      <c r="J4" s="135">
        <v>1.0</v>
      </c>
      <c r="K4" s="135">
        <v>1.0</v>
      </c>
      <c r="L4" s="135">
        <v>1.0</v>
      </c>
      <c r="M4" s="135">
        <v>0.0</v>
      </c>
      <c r="N4" s="136">
        <v>0.0</v>
      </c>
      <c r="O4" s="135">
        <v>0.0</v>
      </c>
      <c r="P4" s="135">
        <v>1.0</v>
      </c>
      <c r="Q4" s="135">
        <v>0.0</v>
      </c>
      <c r="R4" s="142"/>
    </row>
    <row r="5">
      <c r="A5" s="9" t="s">
        <v>18</v>
      </c>
      <c r="B5" s="10">
        <v>45781.0</v>
      </c>
      <c r="C5" s="143">
        <v>1.0</v>
      </c>
      <c r="D5" s="143">
        <v>1.0</v>
      </c>
      <c r="E5" s="143">
        <v>1.0</v>
      </c>
      <c r="F5" s="143">
        <v>1.0</v>
      </c>
      <c r="G5" s="143">
        <v>0.0</v>
      </c>
      <c r="H5" s="143">
        <v>1.0</v>
      </c>
      <c r="I5" s="143">
        <v>1.0</v>
      </c>
      <c r="J5" s="143">
        <v>1.0</v>
      </c>
      <c r="K5" s="143">
        <v>1.0</v>
      </c>
      <c r="L5" s="143">
        <v>1.0</v>
      </c>
      <c r="M5" s="143">
        <v>0.0</v>
      </c>
      <c r="N5" s="144">
        <v>0.0</v>
      </c>
      <c r="O5" s="143">
        <v>0.0</v>
      </c>
      <c r="P5" s="143">
        <v>1.0</v>
      </c>
      <c r="Q5" s="143">
        <v>0.0</v>
      </c>
      <c r="R5" s="145"/>
    </row>
    <row r="6">
      <c r="A6" s="9" t="s">
        <v>19</v>
      </c>
      <c r="B6" s="10">
        <v>45782.0</v>
      </c>
      <c r="C6" s="135">
        <v>1.0</v>
      </c>
      <c r="D6" s="135">
        <v>1.0</v>
      </c>
      <c r="E6" s="135">
        <v>1.0</v>
      </c>
      <c r="F6" s="135">
        <v>1.0</v>
      </c>
      <c r="G6" s="135">
        <v>0.0</v>
      </c>
      <c r="H6" s="135">
        <v>1.0</v>
      </c>
      <c r="I6" s="135">
        <v>0.0</v>
      </c>
      <c r="J6" s="135">
        <v>1.0</v>
      </c>
      <c r="K6" s="135">
        <v>1.0</v>
      </c>
      <c r="L6" s="135">
        <v>1.0</v>
      </c>
      <c r="M6" s="135">
        <v>0.0</v>
      </c>
      <c r="N6" s="136">
        <v>1.0</v>
      </c>
      <c r="O6" s="135">
        <v>0.0</v>
      </c>
      <c r="P6" s="135">
        <v>1.0</v>
      </c>
      <c r="Q6" s="135">
        <v>0.0</v>
      </c>
      <c r="R6" s="142"/>
    </row>
    <row r="7">
      <c r="A7" s="9" t="s">
        <v>22</v>
      </c>
      <c r="B7" s="10">
        <v>45783.0</v>
      </c>
      <c r="C7" s="146">
        <v>1.0</v>
      </c>
      <c r="D7" s="146">
        <v>0.0</v>
      </c>
      <c r="E7" s="146">
        <v>1.0</v>
      </c>
      <c r="F7" s="146">
        <v>1.0</v>
      </c>
      <c r="G7" s="146">
        <v>0.0</v>
      </c>
      <c r="H7" s="146">
        <v>1.0</v>
      </c>
      <c r="I7" s="146">
        <v>1.0</v>
      </c>
      <c r="J7" s="146">
        <v>1.0</v>
      </c>
      <c r="K7" s="146">
        <v>1.0</v>
      </c>
      <c r="L7" s="146">
        <v>1.0</v>
      </c>
      <c r="M7" s="146">
        <v>0.0</v>
      </c>
      <c r="N7" s="147">
        <v>0.0</v>
      </c>
      <c r="O7" s="146">
        <v>0.0</v>
      </c>
      <c r="P7" s="146">
        <v>1.0</v>
      </c>
      <c r="Q7" s="146">
        <v>0.0</v>
      </c>
      <c r="R7" s="148"/>
    </row>
    <row r="8">
      <c r="A8" s="9" t="s">
        <v>23</v>
      </c>
      <c r="B8" s="10">
        <v>45784.0</v>
      </c>
      <c r="C8" s="135">
        <v>1.0</v>
      </c>
      <c r="D8" s="135">
        <v>1.0</v>
      </c>
      <c r="E8" s="135">
        <v>0.0</v>
      </c>
      <c r="F8" s="135">
        <v>1.0</v>
      </c>
      <c r="G8" s="135">
        <v>1.0</v>
      </c>
      <c r="H8" s="135">
        <v>0.0</v>
      </c>
      <c r="I8" s="135">
        <v>1.0</v>
      </c>
      <c r="J8" s="135">
        <v>0.0</v>
      </c>
      <c r="K8" s="135">
        <v>1.0</v>
      </c>
      <c r="L8" s="135">
        <v>1.0</v>
      </c>
      <c r="M8" s="135">
        <v>0.0</v>
      </c>
      <c r="N8" s="136">
        <v>0.0</v>
      </c>
      <c r="O8" s="135">
        <v>0.0</v>
      </c>
      <c r="P8" s="135">
        <v>1.0</v>
      </c>
      <c r="Q8" s="135">
        <v>0.0</v>
      </c>
      <c r="R8" s="137"/>
    </row>
    <row r="9">
      <c r="A9" s="9" t="s">
        <v>11</v>
      </c>
      <c r="B9" s="10">
        <v>45785.0</v>
      </c>
      <c r="C9" s="146">
        <v>1.0</v>
      </c>
      <c r="D9" s="146">
        <v>1.0</v>
      </c>
      <c r="E9" s="146">
        <v>1.0</v>
      </c>
      <c r="F9" s="146">
        <v>1.0</v>
      </c>
      <c r="G9" s="146">
        <v>0.0</v>
      </c>
      <c r="H9" s="146">
        <v>1.0</v>
      </c>
      <c r="I9" s="146">
        <v>0.0</v>
      </c>
      <c r="J9" s="146">
        <v>0.0</v>
      </c>
      <c r="K9" s="146">
        <v>1.0</v>
      </c>
      <c r="L9" s="146">
        <v>1.0</v>
      </c>
      <c r="M9" s="146">
        <v>0.0</v>
      </c>
      <c r="N9" s="147">
        <v>0.0</v>
      </c>
      <c r="O9" s="146">
        <v>0.0</v>
      </c>
      <c r="P9" s="146">
        <v>1.0</v>
      </c>
      <c r="Q9" s="146">
        <v>0.0</v>
      </c>
      <c r="R9" s="149" t="s">
        <v>339</v>
      </c>
    </row>
    <row r="10">
      <c r="A10" s="18" t="s">
        <v>12</v>
      </c>
      <c r="B10" s="19">
        <v>45786.0</v>
      </c>
      <c r="C10" s="138">
        <v>0.0</v>
      </c>
      <c r="D10" s="138">
        <v>1.5</v>
      </c>
      <c r="E10" s="138">
        <v>1.25</v>
      </c>
      <c r="F10" s="138">
        <v>0.0</v>
      </c>
      <c r="G10" s="138">
        <v>0.0</v>
      </c>
      <c r="H10" s="138">
        <v>1.0</v>
      </c>
      <c r="I10" s="138">
        <v>2.0</v>
      </c>
      <c r="J10" s="138">
        <v>0.0</v>
      </c>
      <c r="K10" s="138">
        <v>0.0</v>
      </c>
      <c r="L10" s="138">
        <v>0.0</v>
      </c>
      <c r="M10" s="138">
        <v>0.0</v>
      </c>
      <c r="N10" s="139">
        <v>0.0</v>
      </c>
      <c r="O10" s="138">
        <v>0.0</v>
      </c>
      <c r="P10" s="138">
        <v>1.0</v>
      </c>
      <c r="Q10" s="138">
        <v>0.0</v>
      </c>
      <c r="R10" s="150" t="s">
        <v>340</v>
      </c>
    </row>
    <row r="11">
      <c r="A11" s="9" t="s">
        <v>17</v>
      </c>
      <c r="B11" s="10">
        <v>45787.0</v>
      </c>
      <c r="C11" s="146">
        <v>1.0</v>
      </c>
      <c r="D11" s="146">
        <v>1.0</v>
      </c>
      <c r="E11" s="146">
        <v>0.0</v>
      </c>
      <c r="F11" s="146">
        <v>0.75</v>
      </c>
      <c r="G11" s="146">
        <v>0.0</v>
      </c>
      <c r="H11" s="146">
        <v>1.0</v>
      </c>
      <c r="I11" s="146">
        <v>0.0</v>
      </c>
      <c r="J11" s="146">
        <v>1.0</v>
      </c>
      <c r="K11" s="146">
        <v>0.0</v>
      </c>
      <c r="L11" s="146">
        <v>1.0</v>
      </c>
      <c r="M11" s="146">
        <v>0.0</v>
      </c>
      <c r="N11" s="147">
        <v>0.0</v>
      </c>
      <c r="O11" s="146">
        <v>0.0</v>
      </c>
      <c r="P11" s="146">
        <v>1.0</v>
      </c>
      <c r="Q11" s="146">
        <v>0.0</v>
      </c>
      <c r="R11" s="149" t="s">
        <v>341</v>
      </c>
    </row>
    <row r="12">
      <c r="A12" s="9" t="s">
        <v>18</v>
      </c>
      <c r="B12" s="10">
        <v>45788.0</v>
      </c>
      <c r="C12" s="143">
        <v>1.0</v>
      </c>
      <c r="D12" s="143">
        <v>1.0</v>
      </c>
      <c r="E12" s="143">
        <v>1.0</v>
      </c>
      <c r="F12" s="143">
        <v>0.0</v>
      </c>
      <c r="G12" s="143">
        <v>0.0</v>
      </c>
      <c r="H12" s="143">
        <v>0.7</v>
      </c>
      <c r="I12" s="143">
        <v>1.0</v>
      </c>
      <c r="J12" s="143">
        <v>1.0</v>
      </c>
      <c r="K12" s="143">
        <v>0.0</v>
      </c>
      <c r="L12" s="143">
        <v>1.0</v>
      </c>
      <c r="M12" s="143">
        <v>0.0</v>
      </c>
      <c r="N12" s="144">
        <v>0.0</v>
      </c>
      <c r="O12" s="143">
        <v>0.0</v>
      </c>
      <c r="P12" s="143">
        <v>1.0</v>
      </c>
      <c r="Q12" s="143">
        <v>0.0</v>
      </c>
      <c r="R12" s="151" t="s">
        <v>342</v>
      </c>
    </row>
    <row r="13">
      <c r="A13" s="9" t="s">
        <v>19</v>
      </c>
      <c r="B13" s="10">
        <v>45789.0</v>
      </c>
      <c r="C13" s="146">
        <v>1.0</v>
      </c>
      <c r="D13" s="146">
        <v>0.0</v>
      </c>
      <c r="E13" s="146">
        <v>0.75</v>
      </c>
      <c r="F13" s="146">
        <v>1.0</v>
      </c>
      <c r="G13" s="146">
        <v>1.25</v>
      </c>
      <c r="H13" s="146">
        <v>0.0</v>
      </c>
      <c r="I13" s="146">
        <v>0.0</v>
      </c>
      <c r="J13" s="146">
        <v>1.0</v>
      </c>
      <c r="K13" s="146">
        <v>0.0</v>
      </c>
      <c r="L13" s="146">
        <v>1.0</v>
      </c>
      <c r="M13" s="146">
        <v>0.0</v>
      </c>
      <c r="N13" s="147">
        <v>0.0</v>
      </c>
      <c r="O13" s="146">
        <v>0.0</v>
      </c>
      <c r="P13" s="146">
        <v>1.0</v>
      </c>
      <c r="Q13" s="146">
        <v>0.0</v>
      </c>
      <c r="R13" s="149" t="s">
        <v>343</v>
      </c>
    </row>
    <row r="14">
      <c r="A14" s="9" t="s">
        <v>22</v>
      </c>
      <c r="B14" s="10">
        <v>45790.0</v>
      </c>
      <c r="C14" s="135">
        <v>1.0</v>
      </c>
      <c r="D14" s="135">
        <v>1.0</v>
      </c>
      <c r="E14" s="135">
        <v>0.0</v>
      </c>
      <c r="F14" s="135">
        <v>1.0</v>
      </c>
      <c r="G14" s="135">
        <v>0.0</v>
      </c>
      <c r="H14" s="135">
        <v>1.0</v>
      </c>
      <c r="I14" s="135">
        <v>1.0</v>
      </c>
      <c r="J14" s="135">
        <v>0.75</v>
      </c>
      <c r="K14" s="135">
        <v>1.0</v>
      </c>
      <c r="L14" s="135">
        <v>1.0</v>
      </c>
      <c r="M14" s="135">
        <v>0.0</v>
      </c>
      <c r="N14" s="136">
        <v>1.0</v>
      </c>
      <c r="O14" s="135">
        <v>0.5</v>
      </c>
      <c r="P14" s="135">
        <v>1.0</v>
      </c>
      <c r="Q14" s="135">
        <v>0.0</v>
      </c>
      <c r="R14" s="135" t="s">
        <v>344</v>
      </c>
    </row>
    <row r="15">
      <c r="A15" s="9" t="s">
        <v>23</v>
      </c>
      <c r="B15" s="10">
        <v>45791.0</v>
      </c>
      <c r="C15" s="146">
        <v>1.0</v>
      </c>
      <c r="D15" s="146">
        <v>1.0</v>
      </c>
      <c r="E15" s="146">
        <v>0.0</v>
      </c>
      <c r="F15" s="146">
        <v>1.0</v>
      </c>
      <c r="G15" s="146">
        <v>0.0</v>
      </c>
      <c r="H15" s="146">
        <v>1.0</v>
      </c>
      <c r="I15" s="146">
        <v>0.0</v>
      </c>
      <c r="J15" s="146">
        <v>1.0</v>
      </c>
      <c r="K15" s="146">
        <v>1.0</v>
      </c>
      <c r="L15" s="146">
        <v>1.0</v>
      </c>
      <c r="M15" s="146">
        <v>0.0</v>
      </c>
      <c r="N15" s="147">
        <v>1.0</v>
      </c>
      <c r="O15" s="146">
        <v>1.0</v>
      </c>
      <c r="P15" s="146">
        <v>1.0</v>
      </c>
      <c r="Q15" s="146">
        <v>0.0</v>
      </c>
      <c r="R15" s="146" t="s">
        <v>345</v>
      </c>
    </row>
    <row r="16">
      <c r="A16" s="9" t="s">
        <v>11</v>
      </c>
      <c r="B16" s="10">
        <v>45792.0</v>
      </c>
      <c r="C16" s="135">
        <v>0.0</v>
      </c>
      <c r="D16" s="135">
        <v>1.0</v>
      </c>
      <c r="E16" s="135">
        <v>0.0</v>
      </c>
      <c r="F16" s="135">
        <v>1.0</v>
      </c>
      <c r="G16" s="135">
        <v>0.0</v>
      </c>
      <c r="H16" s="135">
        <v>1.0</v>
      </c>
      <c r="I16" s="135">
        <v>0.0</v>
      </c>
      <c r="J16" s="135">
        <v>1.0</v>
      </c>
      <c r="K16" s="135">
        <v>1.0</v>
      </c>
      <c r="L16" s="135">
        <v>1.25</v>
      </c>
      <c r="M16" s="135">
        <v>0.0</v>
      </c>
      <c r="N16" s="136">
        <v>1.0</v>
      </c>
      <c r="O16" s="135">
        <v>0.5</v>
      </c>
      <c r="P16" s="135">
        <v>1.0</v>
      </c>
      <c r="Q16" s="135">
        <v>1.0</v>
      </c>
      <c r="R16" s="135" t="s">
        <v>346</v>
      </c>
    </row>
    <row r="17">
      <c r="A17" s="18" t="s">
        <v>12</v>
      </c>
      <c r="B17" s="19">
        <v>45793.0</v>
      </c>
      <c r="C17" s="152">
        <v>0.0</v>
      </c>
      <c r="D17" s="152">
        <v>1.0</v>
      </c>
      <c r="E17" s="152">
        <v>0.0</v>
      </c>
      <c r="F17" s="152">
        <v>1.0</v>
      </c>
      <c r="G17" s="152">
        <v>0.0</v>
      </c>
      <c r="H17" s="152">
        <v>1.0</v>
      </c>
      <c r="I17" s="152">
        <v>1.0</v>
      </c>
      <c r="J17" s="138">
        <v>1.5</v>
      </c>
      <c r="K17" s="138">
        <v>0.0</v>
      </c>
      <c r="L17" s="138">
        <v>0.0</v>
      </c>
      <c r="M17" s="138">
        <v>0.0</v>
      </c>
      <c r="N17" s="139">
        <v>0.0</v>
      </c>
      <c r="O17" s="138">
        <v>0.0</v>
      </c>
      <c r="P17" s="138">
        <v>1.5</v>
      </c>
      <c r="Q17" s="138">
        <v>0.0</v>
      </c>
      <c r="R17" s="150" t="s">
        <v>347</v>
      </c>
    </row>
    <row r="18">
      <c r="A18" s="9" t="s">
        <v>17</v>
      </c>
      <c r="B18" s="10">
        <v>45794.0</v>
      </c>
      <c r="C18" s="135">
        <v>1.0</v>
      </c>
      <c r="D18" s="135">
        <v>1.0</v>
      </c>
      <c r="E18" s="135">
        <v>0.0</v>
      </c>
      <c r="F18" s="135">
        <v>1.0</v>
      </c>
      <c r="G18" s="135">
        <v>0.0</v>
      </c>
      <c r="H18" s="135">
        <v>1.0</v>
      </c>
      <c r="I18" s="135">
        <v>0.0</v>
      </c>
      <c r="J18" s="135">
        <v>1.0</v>
      </c>
      <c r="K18" s="135">
        <v>0.0</v>
      </c>
      <c r="L18" s="135">
        <v>1.0</v>
      </c>
      <c r="M18" s="135">
        <v>0.0</v>
      </c>
      <c r="N18" s="136">
        <v>0.0</v>
      </c>
      <c r="O18" s="135">
        <v>0.0</v>
      </c>
      <c r="P18" s="135">
        <v>0.0</v>
      </c>
      <c r="Q18" s="135">
        <v>0.0</v>
      </c>
      <c r="R18" s="142"/>
    </row>
    <row r="19">
      <c r="A19" s="9" t="s">
        <v>18</v>
      </c>
      <c r="B19" s="10">
        <v>45795.0</v>
      </c>
      <c r="C19" s="143">
        <v>1.0</v>
      </c>
      <c r="D19" s="143">
        <v>0.5</v>
      </c>
      <c r="E19" s="143">
        <v>0.0</v>
      </c>
      <c r="F19" s="143">
        <v>0.0</v>
      </c>
      <c r="G19" s="143">
        <v>0.0</v>
      </c>
      <c r="H19" s="143">
        <v>1.0</v>
      </c>
      <c r="I19" s="143">
        <v>1.0</v>
      </c>
      <c r="J19" s="143">
        <v>1.0</v>
      </c>
      <c r="K19" s="143">
        <v>1.0</v>
      </c>
      <c r="L19" s="143">
        <v>1.0</v>
      </c>
      <c r="M19" s="143">
        <v>0.0</v>
      </c>
      <c r="N19" s="144">
        <v>1.0</v>
      </c>
      <c r="O19" s="143">
        <v>0.0</v>
      </c>
      <c r="P19" s="143">
        <v>0.0</v>
      </c>
      <c r="Q19" s="143">
        <v>0.0</v>
      </c>
      <c r="R19" s="151" t="s">
        <v>348</v>
      </c>
    </row>
    <row r="20">
      <c r="A20" s="9" t="s">
        <v>19</v>
      </c>
      <c r="B20" s="10">
        <v>45796.0</v>
      </c>
      <c r="C20" s="135">
        <v>1.0</v>
      </c>
      <c r="D20" s="135">
        <v>1.0</v>
      </c>
      <c r="E20" s="135">
        <v>0.0</v>
      </c>
      <c r="F20" s="135">
        <v>1.0</v>
      </c>
      <c r="G20" s="135">
        <v>0.0</v>
      </c>
      <c r="H20" s="135">
        <v>1.0</v>
      </c>
      <c r="I20" s="135">
        <v>0.0</v>
      </c>
      <c r="J20" s="135">
        <v>0.5</v>
      </c>
      <c r="K20" s="135">
        <v>1.0</v>
      </c>
      <c r="L20" s="135">
        <v>1.0</v>
      </c>
      <c r="M20" s="135">
        <v>0.0</v>
      </c>
      <c r="N20" s="136">
        <v>0.0</v>
      </c>
      <c r="O20" s="135">
        <v>0.0</v>
      </c>
      <c r="P20" s="135">
        <v>1.0</v>
      </c>
      <c r="Q20" s="135">
        <v>0.0</v>
      </c>
      <c r="R20" s="153" t="s">
        <v>349</v>
      </c>
    </row>
    <row r="21">
      <c r="A21" s="9" t="s">
        <v>22</v>
      </c>
      <c r="B21" s="10">
        <v>45797.0</v>
      </c>
      <c r="C21" s="146">
        <v>1.0</v>
      </c>
      <c r="D21" s="146">
        <v>1.0</v>
      </c>
      <c r="E21" s="146">
        <v>0.0</v>
      </c>
      <c r="F21" s="146">
        <v>1.0</v>
      </c>
      <c r="G21" s="146">
        <v>1.25</v>
      </c>
      <c r="H21" s="146">
        <v>0.0</v>
      </c>
      <c r="I21" s="146">
        <v>1.0</v>
      </c>
      <c r="J21" s="146">
        <v>1.0</v>
      </c>
      <c r="K21" s="146">
        <v>1.0</v>
      </c>
      <c r="L21" s="146">
        <v>1.0</v>
      </c>
      <c r="M21" s="146">
        <v>1.0</v>
      </c>
      <c r="N21" s="147">
        <v>1.0</v>
      </c>
      <c r="O21" s="146">
        <v>0.0</v>
      </c>
      <c r="P21" s="146">
        <v>1.0</v>
      </c>
      <c r="Q21" s="146">
        <v>0.0</v>
      </c>
      <c r="R21" s="148"/>
    </row>
    <row r="22">
      <c r="A22" s="9" t="s">
        <v>23</v>
      </c>
      <c r="B22" s="10">
        <v>45798.0</v>
      </c>
      <c r="C22" s="135">
        <v>-1.0</v>
      </c>
      <c r="D22" s="135">
        <v>1.0</v>
      </c>
      <c r="E22" s="135">
        <v>0.0</v>
      </c>
      <c r="F22" s="135">
        <v>1.0</v>
      </c>
      <c r="G22" s="135">
        <v>0.0</v>
      </c>
      <c r="H22" s="135">
        <v>1.0</v>
      </c>
      <c r="I22" s="135">
        <v>0.0</v>
      </c>
      <c r="J22" s="135">
        <v>1.0</v>
      </c>
      <c r="K22" s="135">
        <v>1.0</v>
      </c>
      <c r="L22" s="135">
        <v>1.0</v>
      </c>
      <c r="M22" s="135">
        <v>1.0</v>
      </c>
      <c r="N22" s="136">
        <v>0.0</v>
      </c>
      <c r="O22" s="135">
        <v>0.0</v>
      </c>
      <c r="P22" s="135">
        <v>1.0</v>
      </c>
      <c r="Q22" s="135">
        <v>0.0</v>
      </c>
      <c r="R22" s="153" t="s">
        <v>350</v>
      </c>
    </row>
    <row r="23">
      <c r="A23" s="9" t="s">
        <v>11</v>
      </c>
      <c r="B23" s="10">
        <v>45799.0</v>
      </c>
      <c r="C23" s="146">
        <v>1.0</v>
      </c>
      <c r="D23" s="146">
        <v>1.0</v>
      </c>
      <c r="E23" s="146">
        <v>0.0</v>
      </c>
      <c r="F23" s="146">
        <v>1.0</v>
      </c>
      <c r="G23" s="146">
        <v>0.0</v>
      </c>
      <c r="H23" s="146">
        <v>1.0</v>
      </c>
      <c r="I23" s="146">
        <v>1.0</v>
      </c>
      <c r="J23" s="146">
        <v>1.0</v>
      </c>
      <c r="K23" s="146">
        <v>1.0</v>
      </c>
      <c r="L23" s="146">
        <v>1.0</v>
      </c>
      <c r="M23" s="146">
        <v>1.0</v>
      </c>
      <c r="N23" s="147">
        <v>1.0</v>
      </c>
      <c r="O23" s="146">
        <v>0.0</v>
      </c>
      <c r="P23" s="146">
        <v>1.0</v>
      </c>
      <c r="Q23" s="146">
        <v>0.0</v>
      </c>
      <c r="R23" s="149" t="s">
        <v>351</v>
      </c>
    </row>
    <row r="24">
      <c r="A24" s="18" t="s">
        <v>12</v>
      </c>
      <c r="B24" s="19">
        <v>45800.0</v>
      </c>
      <c r="C24" s="154">
        <v>0.0</v>
      </c>
      <c r="D24" s="154">
        <v>1.0</v>
      </c>
      <c r="E24" s="154">
        <v>0.0</v>
      </c>
      <c r="F24" s="154">
        <v>1.0</v>
      </c>
      <c r="G24" s="154">
        <v>0.0</v>
      </c>
      <c r="H24" s="154">
        <v>1.0</v>
      </c>
      <c r="I24" s="154">
        <v>0.0</v>
      </c>
      <c r="J24" s="154">
        <v>1.0</v>
      </c>
      <c r="K24" s="154">
        <v>1.0</v>
      </c>
      <c r="L24" s="154">
        <v>0.0</v>
      </c>
      <c r="M24" s="154">
        <v>1.0</v>
      </c>
      <c r="N24" s="155">
        <v>1.0</v>
      </c>
      <c r="O24" s="154">
        <v>0.0</v>
      </c>
      <c r="P24" s="154">
        <v>1.0</v>
      </c>
      <c r="Q24" s="154">
        <v>0.0</v>
      </c>
      <c r="R24" s="154" t="s">
        <v>352</v>
      </c>
    </row>
    <row r="25">
      <c r="A25" s="9" t="s">
        <v>17</v>
      </c>
      <c r="B25" s="10">
        <v>45801.0</v>
      </c>
      <c r="C25" s="146">
        <v>1.0</v>
      </c>
      <c r="D25" s="146">
        <v>1.0</v>
      </c>
      <c r="E25" s="146">
        <v>0.0</v>
      </c>
      <c r="F25" s="146">
        <v>1.0</v>
      </c>
      <c r="G25" s="146">
        <v>0.0</v>
      </c>
      <c r="H25" s="146">
        <v>1.0</v>
      </c>
      <c r="I25" s="146">
        <v>1.0</v>
      </c>
      <c r="J25" s="146">
        <v>1.0</v>
      </c>
      <c r="K25" s="146">
        <v>0.0</v>
      </c>
      <c r="L25" s="146">
        <v>1.0</v>
      </c>
      <c r="M25" s="146">
        <v>1.0</v>
      </c>
      <c r="N25" s="147">
        <v>0.0</v>
      </c>
      <c r="O25" s="146">
        <v>0.0</v>
      </c>
      <c r="P25" s="146">
        <v>1.0</v>
      </c>
      <c r="Q25" s="146">
        <v>0.0</v>
      </c>
      <c r="R25" s="148"/>
    </row>
    <row r="26">
      <c r="A26" s="9" t="s">
        <v>18</v>
      </c>
      <c r="B26" s="10">
        <v>45802.0</v>
      </c>
      <c r="C26" s="156">
        <v>1.0</v>
      </c>
      <c r="D26" s="156">
        <v>1.0</v>
      </c>
      <c r="E26" s="156">
        <v>0.0</v>
      </c>
      <c r="F26" s="156">
        <v>0.0</v>
      </c>
      <c r="G26" s="156">
        <v>1.0</v>
      </c>
      <c r="H26" s="156">
        <v>0.0</v>
      </c>
      <c r="I26" s="156">
        <v>0.0</v>
      </c>
      <c r="J26" s="156">
        <v>1.0</v>
      </c>
      <c r="K26" s="156">
        <v>1.0</v>
      </c>
      <c r="L26" s="143">
        <v>1.0</v>
      </c>
      <c r="M26" s="156">
        <v>1.0</v>
      </c>
      <c r="N26" s="157">
        <v>0.0</v>
      </c>
      <c r="O26" s="156">
        <v>0.0</v>
      </c>
      <c r="P26" s="156">
        <v>1.0</v>
      </c>
      <c r="Q26" s="143">
        <v>0.0</v>
      </c>
      <c r="R26" s="151" t="s">
        <v>353</v>
      </c>
    </row>
    <row r="27">
      <c r="A27" s="9" t="s">
        <v>19</v>
      </c>
      <c r="B27" s="10">
        <v>45803.0</v>
      </c>
      <c r="C27" s="146">
        <v>1.0</v>
      </c>
      <c r="D27" s="146">
        <v>0.0</v>
      </c>
      <c r="E27" s="146">
        <v>0.0</v>
      </c>
      <c r="F27" s="146">
        <v>1.0</v>
      </c>
      <c r="G27" s="146">
        <v>0.0</v>
      </c>
      <c r="H27" s="146">
        <v>1.0</v>
      </c>
      <c r="I27" s="146">
        <v>1.0</v>
      </c>
      <c r="J27" s="146">
        <v>0.0</v>
      </c>
      <c r="K27" s="146">
        <v>1.0</v>
      </c>
      <c r="L27" s="146">
        <v>1.0</v>
      </c>
      <c r="M27" s="146">
        <v>0.0</v>
      </c>
      <c r="N27" s="147">
        <v>0.0</v>
      </c>
      <c r="O27" s="146">
        <v>0.0</v>
      </c>
      <c r="P27" s="146">
        <v>1.0</v>
      </c>
      <c r="Q27" s="146">
        <v>0.0</v>
      </c>
      <c r="R27" s="148"/>
    </row>
    <row r="28">
      <c r="A28" s="9" t="s">
        <v>22</v>
      </c>
      <c r="B28" s="10">
        <v>45804.0</v>
      </c>
      <c r="C28" s="158">
        <v>1.0</v>
      </c>
      <c r="D28" s="158">
        <v>1.0</v>
      </c>
      <c r="E28" s="158">
        <v>0.0</v>
      </c>
      <c r="F28" s="158">
        <v>1.0</v>
      </c>
      <c r="G28" s="158">
        <v>0.0</v>
      </c>
      <c r="H28" s="158">
        <v>1.0</v>
      </c>
      <c r="I28" s="158">
        <v>0.0</v>
      </c>
      <c r="J28" s="158">
        <v>1.0</v>
      </c>
      <c r="K28" s="158">
        <v>1.0</v>
      </c>
      <c r="L28" s="158">
        <v>1.0</v>
      </c>
      <c r="M28" s="158">
        <v>1.0</v>
      </c>
      <c r="N28" s="158">
        <v>1.0</v>
      </c>
      <c r="O28" s="158">
        <v>0.0</v>
      </c>
      <c r="P28" s="158">
        <v>1.0</v>
      </c>
      <c r="Q28" s="158">
        <v>0.0</v>
      </c>
      <c r="R28" s="153" t="s">
        <v>354</v>
      </c>
    </row>
    <row r="29">
      <c r="A29" s="9" t="s">
        <v>23</v>
      </c>
      <c r="B29" s="10">
        <v>45805.0</v>
      </c>
      <c r="C29" s="159">
        <v>1.0</v>
      </c>
      <c r="D29" s="159">
        <v>1.0</v>
      </c>
      <c r="E29" s="159">
        <v>0.0</v>
      </c>
      <c r="F29" s="159">
        <v>1.0</v>
      </c>
      <c r="G29" s="159">
        <v>1.5</v>
      </c>
      <c r="H29" s="159">
        <v>0.0</v>
      </c>
      <c r="I29" s="159">
        <v>1.0</v>
      </c>
      <c r="J29" s="159">
        <v>1.0</v>
      </c>
      <c r="K29" s="159">
        <v>0.0</v>
      </c>
      <c r="L29" s="159">
        <v>1.0</v>
      </c>
      <c r="M29" s="159">
        <v>1.0</v>
      </c>
      <c r="N29" s="159">
        <v>0.0</v>
      </c>
      <c r="O29" s="159">
        <v>0.0</v>
      </c>
      <c r="P29" s="159">
        <v>1.0</v>
      </c>
      <c r="Q29" s="159">
        <v>0.0</v>
      </c>
      <c r="R29" s="160"/>
    </row>
    <row r="30">
      <c r="A30" s="9" t="s">
        <v>11</v>
      </c>
      <c r="B30" s="10">
        <v>45806.0</v>
      </c>
      <c r="C30" s="161">
        <v>1.0</v>
      </c>
      <c r="D30" s="162">
        <v>1.0</v>
      </c>
      <c r="E30" s="162">
        <v>0.0</v>
      </c>
      <c r="F30" s="162">
        <v>1.0</v>
      </c>
      <c r="G30" s="162">
        <v>0.0</v>
      </c>
      <c r="H30" s="162">
        <v>1.0</v>
      </c>
      <c r="I30" s="162">
        <v>0.0</v>
      </c>
      <c r="J30" s="162">
        <v>1.0</v>
      </c>
      <c r="K30" s="162">
        <v>0.0</v>
      </c>
      <c r="L30" s="162">
        <v>1.0</v>
      </c>
      <c r="M30" s="162">
        <v>1.0</v>
      </c>
      <c r="N30" s="162">
        <v>1.0</v>
      </c>
      <c r="O30" s="162">
        <v>0.0</v>
      </c>
      <c r="P30" s="162">
        <v>1.0</v>
      </c>
      <c r="Q30" s="162">
        <v>0.0</v>
      </c>
      <c r="R30" s="163"/>
    </row>
    <row r="31">
      <c r="A31" s="61" t="s">
        <v>12</v>
      </c>
      <c r="B31" s="19">
        <v>45807.0</v>
      </c>
      <c r="C31" s="164">
        <v>0.0</v>
      </c>
      <c r="D31" s="165">
        <v>1.0</v>
      </c>
      <c r="E31" s="165">
        <v>0.0</v>
      </c>
      <c r="F31" s="165">
        <v>0.0</v>
      </c>
      <c r="G31" s="165">
        <v>0.0</v>
      </c>
      <c r="H31" s="165">
        <v>1.0</v>
      </c>
      <c r="I31" s="165">
        <v>1.0</v>
      </c>
      <c r="J31" s="165">
        <v>0.0</v>
      </c>
      <c r="K31" s="165">
        <v>0.0</v>
      </c>
      <c r="L31" s="166">
        <v>0.0</v>
      </c>
      <c r="M31" s="165">
        <v>1.0</v>
      </c>
      <c r="N31" s="165">
        <v>1.25</v>
      </c>
      <c r="O31" s="166">
        <v>0.0</v>
      </c>
      <c r="P31" s="166">
        <v>0.0</v>
      </c>
      <c r="Q31" s="166">
        <v>1.5</v>
      </c>
      <c r="R31" s="167"/>
    </row>
    <row r="32">
      <c r="A32" s="62" t="s">
        <v>40</v>
      </c>
      <c r="B32" s="10">
        <v>45808.0</v>
      </c>
      <c r="C32" s="161">
        <v>1.0</v>
      </c>
      <c r="D32" s="168">
        <v>1.0</v>
      </c>
      <c r="E32" s="162">
        <v>0.0</v>
      </c>
      <c r="F32" s="162">
        <v>1.0</v>
      </c>
      <c r="G32" s="162">
        <v>0.0</v>
      </c>
      <c r="H32" s="162">
        <v>1.0</v>
      </c>
      <c r="I32" s="162">
        <v>1.0</v>
      </c>
      <c r="J32" s="162">
        <v>1.0</v>
      </c>
      <c r="K32" s="162">
        <v>1.0</v>
      </c>
      <c r="L32" s="162">
        <v>1.0</v>
      </c>
      <c r="M32" s="162">
        <v>0.0</v>
      </c>
      <c r="N32" s="162">
        <v>0.0</v>
      </c>
      <c r="O32" s="162">
        <v>0.0</v>
      </c>
      <c r="P32" s="162">
        <v>1.0</v>
      </c>
      <c r="Q32" s="162">
        <v>1.5</v>
      </c>
      <c r="R32" s="169"/>
    </row>
    <row r="33">
      <c r="A33" s="6"/>
      <c r="B33" s="170" t="s">
        <v>355</v>
      </c>
      <c r="C33" s="171">
        <f t="shared" ref="C33:Q33" si="1">SUM(C2:C32)</f>
        <v>22</v>
      </c>
      <c r="D33" s="171">
        <f t="shared" si="1"/>
        <v>28</v>
      </c>
      <c r="E33" s="171">
        <f t="shared" si="1"/>
        <v>9</v>
      </c>
      <c r="F33" s="171">
        <f t="shared" si="1"/>
        <v>24.75</v>
      </c>
      <c r="G33" s="171">
        <f t="shared" si="1"/>
        <v>6</v>
      </c>
      <c r="H33" s="171">
        <f t="shared" si="1"/>
        <v>25.7</v>
      </c>
      <c r="I33" s="171">
        <f t="shared" si="1"/>
        <v>25.66</v>
      </c>
      <c r="J33" s="171">
        <f t="shared" si="1"/>
        <v>23.75</v>
      </c>
      <c r="K33" s="171">
        <f t="shared" si="1"/>
        <v>20</v>
      </c>
      <c r="L33" s="171">
        <f t="shared" si="1"/>
        <v>26.25</v>
      </c>
      <c r="M33" s="171">
        <f t="shared" si="1"/>
        <v>10</v>
      </c>
      <c r="N33" s="171">
        <f t="shared" si="1"/>
        <v>13.25</v>
      </c>
      <c r="O33" s="171">
        <f t="shared" si="1"/>
        <v>2</v>
      </c>
      <c r="P33" s="171">
        <f t="shared" si="1"/>
        <v>28.5</v>
      </c>
      <c r="Q33" s="171">
        <f t="shared" si="1"/>
        <v>4</v>
      </c>
      <c r="R33" s="169"/>
    </row>
    <row r="34">
      <c r="C34" s="172">
        <v>1200.0</v>
      </c>
      <c r="D34" s="173">
        <v>1155.0</v>
      </c>
      <c r="E34" s="173">
        <v>1155.0</v>
      </c>
      <c r="F34" s="174">
        <v>1270.0</v>
      </c>
      <c r="G34" s="173">
        <v>1155.0</v>
      </c>
      <c r="H34" s="175">
        <v>1155.0</v>
      </c>
      <c r="I34" s="175">
        <v>1155.0</v>
      </c>
      <c r="J34" s="175">
        <v>1347.0</v>
      </c>
      <c r="K34" s="176">
        <v>1347.0</v>
      </c>
      <c r="L34" s="176">
        <v>1155.0</v>
      </c>
      <c r="M34" s="176">
        <v>1200.0</v>
      </c>
      <c r="N34" s="177">
        <v>1155.0</v>
      </c>
      <c r="O34" s="176">
        <v>1155.0</v>
      </c>
      <c r="P34" s="178">
        <v>1400.0</v>
      </c>
      <c r="Q34" s="177">
        <v>1000.0</v>
      </c>
      <c r="R34" s="179"/>
    </row>
    <row r="35">
      <c r="C35" s="180">
        <f t="shared" ref="C35:Q35" si="2">C33*C34</f>
        <v>26400</v>
      </c>
      <c r="D35" s="181">
        <f t="shared" si="2"/>
        <v>32340</v>
      </c>
      <c r="E35" s="181">
        <f t="shared" si="2"/>
        <v>10395</v>
      </c>
      <c r="F35" s="181">
        <f t="shared" si="2"/>
        <v>31432.5</v>
      </c>
      <c r="G35" s="181">
        <f t="shared" si="2"/>
        <v>6930</v>
      </c>
      <c r="H35" s="182">
        <f t="shared" si="2"/>
        <v>29683.5</v>
      </c>
      <c r="I35" s="182">
        <f t="shared" si="2"/>
        <v>29637.3</v>
      </c>
      <c r="J35" s="182">
        <f t="shared" si="2"/>
        <v>31991.25</v>
      </c>
      <c r="K35" s="183">
        <f t="shared" si="2"/>
        <v>26940</v>
      </c>
      <c r="L35" s="184">
        <f t="shared" si="2"/>
        <v>30318.75</v>
      </c>
      <c r="M35" s="184">
        <f t="shared" si="2"/>
        <v>12000</v>
      </c>
      <c r="N35" s="184">
        <f t="shared" si="2"/>
        <v>15303.75</v>
      </c>
      <c r="O35" s="184">
        <f t="shared" si="2"/>
        <v>2310</v>
      </c>
      <c r="P35" s="185">
        <f t="shared" si="2"/>
        <v>39900</v>
      </c>
      <c r="Q35" s="184">
        <f t="shared" si="2"/>
        <v>4000</v>
      </c>
      <c r="R35" s="186"/>
    </row>
    <row r="36">
      <c r="C36" s="187"/>
      <c r="D36" s="188"/>
      <c r="E36" s="188"/>
      <c r="F36" s="188"/>
      <c r="G36" s="188"/>
      <c r="H36" s="188"/>
      <c r="I36" s="188"/>
      <c r="J36" s="188"/>
      <c r="K36" s="189"/>
      <c r="L36" s="190"/>
      <c r="M36" s="190"/>
      <c r="N36" s="190"/>
      <c r="O36" s="190"/>
      <c r="P36" s="190"/>
      <c r="Q36" s="190"/>
      <c r="R36" s="179"/>
    </row>
    <row r="37">
      <c r="C37" s="191">
        <v>1270.0</v>
      </c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</row>
    <row r="38">
      <c r="C38" s="192">
        <f>C33*C37</f>
        <v>27940</v>
      </c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</row>
    <row r="39">
      <c r="C39" s="19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9.13"/>
    <col customWidth="1" min="9" max="9" width="26.13"/>
    <col customWidth="1" min="10" max="10" width="27.38"/>
    <col customWidth="1" min="11" max="11" width="29.63"/>
    <col customWidth="1" min="12" max="12" width="80.75"/>
  </cols>
  <sheetData>
    <row r="4">
      <c r="G4" s="6"/>
      <c r="H4" s="6"/>
      <c r="I4" s="6"/>
      <c r="J4" s="6"/>
      <c r="K4" s="6"/>
    </row>
    <row r="5">
      <c r="G5" s="194"/>
      <c r="H5" s="195" t="s">
        <v>356</v>
      </c>
      <c r="I5" s="195" t="s">
        <v>4</v>
      </c>
      <c r="J5" s="195" t="s">
        <v>357</v>
      </c>
      <c r="K5" s="196" t="s">
        <v>358</v>
      </c>
      <c r="L5" s="197"/>
    </row>
    <row r="6">
      <c r="G6" s="198"/>
      <c r="H6" s="163" t="s">
        <v>359</v>
      </c>
      <c r="I6" s="199">
        <v>30000.0</v>
      </c>
      <c r="J6" s="200">
        <v>30000.0</v>
      </c>
      <c r="K6" s="199">
        <f t="shared" ref="K6:K16" si="1">I6-J6</f>
        <v>0</v>
      </c>
      <c r="L6" s="201"/>
    </row>
    <row r="7">
      <c r="G7" s="194"/>
      <c r="H7" s="202" t="s">
        <v>360</v>
      </c>
      <c r="I7" s="203">
        <v>30000.0</v>
      </c>
      <c r="J7" s="204">
        <v>30000.0</v>
      </c>
      <c r="K7" s="203">
        <f t="shared" si="1"/>
        <v>0</v>
      </c>
      <c r="L7" s="205"/>
    </row>
    <row r="8">
      <c r="G8" s="137">
        <v>1.0</v>
      </c>
      <c r="H8" s="163" t="s">
        <v>325</v>
      </c>
      <c r="I8" s="199">
        <f>Pointage!C35</f>
        <v>26400</v>
      </c>
      <c r="J8" s="206">
        <v>26500.0</v>
      </c>
      <c r="K8" s="199">
        <f t="shared" si="1"/>
        <v>-100</v>
      </c>
      <c r="L8" s="207" t="s">
        <v>361</v>
      </c>
    </row>
    <row r="9">
      <c r="G9" s="160">
        <v>2.0</v>
      </c>
      <c r="H9" s="202" t="s">
        <v>362</v>
      </c>
      <c r="I9" s="203">
        <f>Pointage!D35</f>
        <v>32340</v>
      </c>
      <c r="J9" s="204">
        <v>33000.0</v>
      </c>
      <c r="K9" s="203">
        <f t="shared" si="1"/>
        <v>-660</v>
      </c>
      <c r="L9" s="208" t="s">
        <v>363</v>
      </c>
    </row>
    <row r="10">
      <c r="G10" s="137">
        <v>3.0</v>
      </c>
      <c r="H10" s="163" t="s">
        <v>364</v>
      </c>
      <c r="I10" s="199">
        <f>Pointage!E35</f>
        <v>10395</v>
      </c>
      <c r="J10" s="206">
        <v>11000.0</v>
      </c>
      <c r="K10" s="199">
        <f t="shared" si="1"/>
        <v>-605</v>
      </c>
      <c r="L10" s="207" t="s">
        <v>365</v>
      </c>
    </row>
    <row r="11">
      <c r="G11" s="160">
        <v>4.0</v>
      </c>
      <c r="H11" s="202" t="s">
        <v>328</v>
      </c>
      <c r="I11" s="203">
        <f>Pointage!F35</f>
        <v>31432.5</v>
      </c>
      <c r="J11" s="204">
        <v>31500.0</v>
      </c>
      <c r="K11" s="203">
        <f t="shared" si="1"/>
        <v>-67.5</v>
      </c>
      <c r="L11" s="208" t="s">
        <v>366</v>
      </c>
    </row>
    <row r="12">
      <c r="G12" s="137">
        <v>5.0</v>
      </c>
      <c r="H12" s="163" t="s">
        <v>329</v>
      </c>
      <c r="I12" s="199">
        <f>Pointage!G35</f>
        <v>6930</v>
      </c>
      <c r="J12" s="206">
        <v>7000.0</v>
      </c>
      <c r="K12" s="199">
        <f t="shared" si="1"/>
        <v>-70</v>
      </c>
      <c r="L12" s="201"/>
    </row>
    <row r="13">
      <c r="G13" s="160">
        <v>6.0</v>
      </c>
      <c r="H13" s="202" t="s">
        <v>367</v>
      </c>
      <c r="I13" s="203">
        <f>Pointage!H35+L13</f>
        <v>34683.5</v>
      </c>
      <c r="J13" s="204">
        <v>35000.0</v>
      </c>
      <c r="K13" s="203">
        <f t="shared" si="1"/>
        <v>-316.5</v>
      </c>
      <c r="L13" s="209">
        <v>5000.0</v>
      </c>
    </row>
    <row r="14">
      <c r="G14" s="137">
        <v>7.0</v>
      </c>
      <c r="H14" s="163" t="s">
        <v>331</v>
      </c>
      <c r="I14" s="199">
        <f>Pointage!I35</f>
        <v>29637.3</v>
      </c>
      <c r="J14" s="206">
        <v>30000.0</v>
      </c>
      <c r="K14" s="199">
        <f t="shared" si="1"/>
        <v>-362.7</v>
      </c>
      <c r="L14" s="207" t="s">
        <v>368</v>
      </c>
    </row>
    <row r="15">
      <c r="G15" s="160">
        <v>8.0</v>
      </c>
      <c r="H15" s="202" t="s">
        <v>332</v>
      </c>
      <c r="I15" s="203">
        <f>Pointage!J35</f>
        <v>31991.25</v>
      </c>
      <c r="J15" s="204">
        <v>32000.0</v>
      </c>
      <c r="K15" s="203">
        <f t="shared" si="1"/>
        <v>-8.75</v>
      </c>
      <c r="L15" s="205"/>
    </row>
    <row r="16">
      <c r="G16" s="137">
        <v>11.0</v>
      </c>
      <c r="H16" s="163" t="s">
        <v>369</v>
      </c>
      <c r="I16" s="199">
        <f>Pointage!K35</f>
        <v>26940</v>
      </c>
      <c r="J16" s="206">
        <v>27000.0</v>
      </c>
      <c r="K16" s="199">
        <f t="shared" si="1"/>
        <v>-60</v>
      </c>
      <c r="L16" s="201"/>
    </row>
    <row r="17">
      <c r="G17" s="160">
        <v>12.0</v>
      </c>
      <c r="H17" s="202" t="s">
        <v>334</v>
      </c>
      <c r="I17" s="204">
        <v>30000.0</v>
      </c>
      <c r="J17" s="204">
        <v>30000.0</v>
      </c>
      <c r="K17" s="204">
        <v>0.0</v>
      </c>
      <c r="L17" s="205"/>
    </row>
    <row r="18">
      <c r="G18" s="160">
        <v>14.0</v>
      </c>
      <c r="H18" s="210" t="s">
        <v>328</v>
      </c>
      <c r="I18" s="203">
        <f>Pointage!M35</f>
        <v>12000</v>
      </c>
      <c r="J18" s="204">
        <v>12000.0</v>
      </c>
      <c r="K18" s="203">
        <f t="shared" ref="K18:K24" si="2">I18-J18</f>
        <v>0</v>
      </c>
      <c r="L18" s="208" t="s">
        <v>370</v>
      </c>
    </row>
    <row r="19">
      <c r="G19" s="137">
        <v>15.0</v>
      </c>
      <c r="H19" s="211" t="s">
        <v>371</v>
      </c>
      <c r="I19" s="199">
        <f>Pointage!N35</f>
        <v>15303.75</v>
      </c>
      <c r="J19" s="206">
        <v>15500.0</v>
      </c>
      <c r="K19" s="199">
        <f t="shared" si="2"/>
        <v>-196.25</v>
      </c>
      <c r="L19" s="207" t="s">
        <v>372</v>
      </c>
    </row>
    <row r="20">
      <c r="G20" s="160">
        <v>16.0</v>
      </c>
      <c r="H20" s="210" t="s">
        <v>373</v>
      </c>
      <c r="I20" s="203">
        <f>Pointage!O35</f>
        <v>2310</v>
      </c>
      <c r="J20" s="204">
        <v>3000.0</v>
      </c>
      <c r="K20" s="203">
        <f t="shared" si="2"/>
        <v>-690</v>
      </c>
      <c r="L20" s="205"/>
    </row>
    <row r="21">
      <c r="G21" s="137"/>
      <c r="H21" s="211" t="s">
        <v>337</v>
      </c>
      <c r="I21" s="199">
        <f>Pointage!P35</f>
        <v>39900</v>
      </c>
      <c r="J21" s="206">
        <v>40000.0</v>
      </c>
      <c r="K21" s="199">
        <f t="shared" si="2"/>
        <v>-100</v>
      </c>
      <c r="L21" s="201"/>
    </row>
    <row r="22">
      <c r="G22" s="137">
        <v>17.0</v>
      </c>
      <c r="H22" s="211" t="s">
        <v>338</v>
      </c>
      <c r="I22" s="199">
        <f>Pointage!Q35</f>
        <v>4000</v>
      </c>
      <c r="J22" s="206">
        <v>4000.0</v>
      </c>
      <c r="K22" s="199">
        <f t="shared" si="2"/>
        <v>0</v>
      </c>
      <c r="L22" s="207" t="s">
        <v>374</v>
      </c>
    </row>
    <row r="23">
      <c r="G23" s="194"/>
      <c r="H23" s="202" t="s">
        <v>375</v>
      </c>
      <c r="I23" s="203">
        <f t="shared" ref="I23:J23" si="3">SUM(I6:I22)</f>
        <v>394263.3</v>
      </c>
      <c r="J23" s="203">
        <f t="shared" si="3"/>
        <v>397500</v>
      </c>
      <c r="K23" s="212">
        <f t="shared" si="2"/>
        <v>-3236.7</v>
      </c>
      <c r="L23" s="197"/>
    </row>
    <row r="24">
      <c r="G24" s="198"/>
      <c r="H24" s="213"/>
      <c r="I24" s="214"/>
      <c r="J24" s="214"/>
      <c r="K24" s="199">
        <f t="shared" si="2"/>
        <v>0</v>
      </c>
      <c r="L24" s="201"/>
    </row>
    <row r="25">
      <c r="G25" s="215"/>
      <c r="H25" s="215"/>
      <c r="I25" s="215"/>
      <c r="J25" s="215"/>
      <c r="K25" s="215"/>
      <c r="L25" s="179"/>
    </row>
    <row r="26">
      <c r="G26" s="186"/>
      <c r="H26" s="186"/>
      <c r="I26" s="186"/>
      <c r="J26" s="186"/>
      <c r="K26" s="186"/>
      <c r="L26" s="216"/>
    </row>
    <row r="27">
      <c r="G27" s="215"/>
      <c r="H27" s="215"/>
      <c r="I27" s="215"/>
      <c r="J27" s="215"/>
      <c r="K27" s="179"/>
      <c r="L27" s="179"/>
    </row>
    <row r="28">
      <c r="G28" s="16"/>
      <c r="H28" s="16"/>
      <c r="I28" s="16"/>
      <c r="J28" s="16"/>
      <c r="K28" s="16"/>
    </row>
    <row r="29">
      <c r="G29" s="6"/>
      <c r="H29" s="6"/>
      <c r="I29" s="6"/>
      <c r="J29" s="6"/>
      <c r="K29" s="6"/>
    </row>
    <row r="30">
      <c r="G30" s="6"/>
      <c r="H30" s="6"/>
      <c r="I30" s="6"/>
      <c r="J30" s="6"/>
      <c r="K30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5" max="5" width="35.38"/>
    <col customWidth="1" min="6" max="6" width="34.63"/>
    <col customWidth="1" min="7" max="7" width="32.13"/>
    <col customWidth="1" min="8" max="8" width="31.88"/>
    <col customWidth="1" min="9" max="9" width="33.13"/>
    <col customWidth="1" min="13" max="13" width="29.38"/>
    <col customWidth="1" min="14" max="14" width="39.88"/>
  </cols>
  <sheetData>
    <row r="16">
      <c r="C16" s="6"/>
      <c r="D16" s="6"/>
      <c r="E16" s="217"/>
      <c r="F16" s="217"/>
      <c r="G16" s="6"/>
      <c r="H16" s="6"/>
      <c r="I16" s="6"/>
      <c r="J16" s="6"/>
      <c r="N16" s="6"/>
    </row>
    <row r="17">
      <c r="C17" s="6"/>
      <c r="D17" s="1"/>
      <c r="E17" s="218" t="s">
        <v>376</v>
      </c>
      <c r="F17" s="218" t="s">
        <v>377</v>
      </c>
      <c r="G17" s="218" t="s">
        <v>378</v>
      </c>
      <c r="H17" s="218" t="s">
        <v>379</v>
      </c>
      <c r="I17" s="219" t="s">
        <v>380</v>
      </c>
      <c r="J17" s="6"/>
      <c r="N17" s="219" t="s">
        <v>380</v>
      </c>
    </row>
    <row r="18">
      <c r="C18" s="6"/>
      <c r="D18" s="220" t="s">
        <v>2</v>
      </c>
      <c r="E18" s="34">
        <v>2033000.0</v>
      </c>
      <c r="F18" s="34">
        <v>1859000.0</v>
      </c>
      <c r="G18" s="34">
        <v>2094000.0</v>
      </c>
      <c r="H18" s="34">
        <v>1282000.0</v>
      </c>
      <c r="I18" s="34">
        <f>RECAP!D33</f>
        <v>2077000</v>
      </c>
      <c r="J18" s="6"/>
      <c r="M18" s="220" t="s">
        <v>2</v>
      </c>
      <c r="N18" s="221">
        <v>2077000.0</v>
      </c>
    </row>
    <row r="19">
      <c r="C19" s="6"/>
      <c r="D19" s="220" t="s">
        <v>3</v>
      </c>
      <c r="E19" s="34">
        <v>854000.0</v>
      </c>
      <c r="F19" s="34">
        <v>884000.0</v>
      </c>
      <c r="G19" s="34">
        <v>962000.0</v>
      </c>
      <c r="H19" s="34">
        <v>669000.0</v>
      </c>
      <c r="I19" s="221">
        <v>800000.0</v>
      </c>
      <c r="J19" s="6"/>
      <c r="M19" s="220" t="s">
        <v>3</v>
      </c>
      <c r="N19" s="221">
        <v>800000.0</v>
      </c>
    </row>
    <row r="20">
      <c r="C20" s="6"/>
      <c r="D20" s="220" t="s">
        <v>381</v>
      </c>
      <c r="E20" s="34">
        <v>427000.0</v>
      </c>
      <c r="F20" s="34">
        <v>409000.0</v>
      </c>
      <c r="G20" s="34">
        <v>439000.0</v>
      </c>
      <c r="H20" s="34">
        <v>338000.0</v>
      </c>
      <c r="I20" s="221">
        <v>385000.0</v>
      </c>
      <c r="J20" s="6"/>
      <c r="M20" s="220" t="s">
        <v>381</v>
      </c>
      <c r="N20" s="221">
        <v>385000.0</v>
      </c>
    </row>
    <row r="21">
      <c r="C21" s="6"/>
      <c r="D21" s="220" t="s">
        <v>382</v>
      </c>
      <c r="E21" s="34">
        <v>62000.0</v>
      </c>
      <c r="F21" s="34">
        <v>56000.0</v>
      </c>
      <c r="G21" s="34">
        <v>60000.0</v>
      </c>
      <c r="H21" s="34">
        <v>50000.0</v>
      </c>
      <c r="I21" s="34">
        <f>RECAP!G33</f>
        <v>62000</v>
      </c>
      <c r="J21" s="6"/>
      <c r="M21" s="220" t="s">
        <v>382</v>
      </c>
      <c r="N21" s="221">
        <v>62000.0</v>
      </c>
    </row>
    <row r="22">
      <c r="C22" s="6"/>
      <c r="D22" s="220" t="s">
        <v>383</v>
      </c>
      <c r="E22" s="34">
        <v>180000.0</v>
      </c>
      <c r="F22" s="34">
        <v>180000.0</v>
      </c>
      <c r="G22" s="34">
        <v>180000.0</v>
      </c>
      <c r="H22" s="34">
        <v>180000.0</v>
      </c>
      <c r="I22" s="34">
        <v>180000.0</v>
      </c>
      <c r="J22" s="6"/>
      <c r="M22" s="220" t="s">
        <v>383</v>
      </c>
      <c r="N22" s="34">
        <v>180000.0</v>
      </c>
    </row>
    <row r="23">
      <c r="C23" s="6"/>
      <c r="D23" s="220" t="s">
        <v>384</v>
      </c>
      <c r="E23" s="34">
        <f t="shared" ref="E23:I23" si="1">E18-E19-E20-E21-E22</f>
        <v>510000</v>
      </c>
      <c r="F23" s="34">
        <f t="shared" si="1"/>
        <v>330000</v>
      </c>
      <c r="G23" s="34">
        <f t="shared" si="1"/>
        <v>453000</v>
      </c>
      <c r="H23" s="34">
        <f t="shared" si="1"/>
        <v>45000</v>
      </c>
      <c r="I23" s="34">
        <f t="shared" si="1"/>
        <v>650000</v>
      </c>
      <c r="J23" s="6"/>
      <c r="M23" s="220" t="s">
        <v>384</v>
      </c>
      <c r="N23" s="34">
        <f>N18-N19-N20-N21-N22</f>
        <v>650000</v>
      </c>
    </row>
    <row r="24">
      <c r="C24" s="6"/>
      <c r="D24" s="6"/>
      <c r="E24" s="6"/>
      <c r="F24" s="6"/>
      <c r="G24" s="6"/>
      <c r="H24" s="6"/>
      <c r="I24" s="6"/>
      <c r="J24" s="6"/>
      <c r="M24" s="6"/>
    </row>
    <row r="25">
      <c r="C25" s="6"/>
      <c r="D25" s="6"/>
      <c r="E25" s="6"/>
      <c r="F25" s="6"/>
      <c r="G25" s="6"/>
      <c r="H25" s="6"/>
      <c r="I25" s="6"/>
      <c r="J25" s="6"/>
    </row>
    <row r="26">
      <c r="C26" s="6"/>
      <c r="D26" s="6"/>
      <c r="E26" s="6"/>
      <c r="F26" s="6"/>
      <c r="G26" s="6"/>
      <c r="H26" s="6"/>
      <c r="I26" s="6"/>
      <c r="J26" s="6"/>
    </row>
  </sheetData>
  <drawing r:id="rId1"/>
</worksheet>
</file>