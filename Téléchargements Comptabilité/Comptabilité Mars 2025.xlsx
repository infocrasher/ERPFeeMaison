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AP" sheetId="1" r:id="rId4"/>
    <sheet state="visible" name="Les Charges" sheetId="2" r:id="rId5"/>
    <sheet state="visible" name="Pointage" sheetId="3" r:id="rId6"/>
    <sheet state="visible" name="Les Salaires" sheetId="4" r:id="rId7"/>
    <sheet state="visible" name="Feuille 5" sheetId="5" r:id="rId8"/>
    <sheet state="visible" name="Feuille 6" sheetId="6" r:id="rId9"/>
  </sheets>
  <definedNames/>
  <calcPr/>
</workbook>
</file>

<file path=xl/sharedStrings.xml><?xml version="1.0" encoding="utf-8"?>
<sst xmlns="http://schemas.openxmlformats.org/spreadsheetml/2006/main" count="675" uniqueCount="382">
  <si>
    <t>Date</t>
  </si>
  <si>
    <t>Recette Féverier 2025</t>
  </si>
  <si>
    <t xml:space="preserve">Recette </t>
  </si>
  <si>
    <t>Charges</t>
  </si>
  <si>
    <t>Salaire</t>
  </si>
  <si>
    <t>Che7i7a</t>
  </si>
  <si>
    <t>Loyer</t>
  </si>
  <si>
    <t>Net Profit</t>
  </si>
  <si>
    <t>Nb de jours</t>
  </si>
  <si>
    <t>Objectif</t>
  </si>
  <si>
    <t>Mois de Février 2025</t>
  </si>
  <si>
    <t>Samedi</t>
  </si>
  <si>
    <t>Dimanche</t>
  </si>
  <si>
    <t>Bénéfice Moyen par jour</t>
  </si>
  <si>
    <t xml:space="preserve">Moyenne </t>
  </si>
  <si>
    <t xml:space="preserve">Moyenne salaire </t>
  </si>
  <si>
    <t xml:space="preserve">pourcentage du salaire vis à vis la recettte </t>
  </si>
  <si>
    <t>Lundi</t>
  </si>
  <si>
    <t>Mardi</t>
  </si>
  <si>
    <t>Mercredi</t>
  </si>
  <si>
    <t xml:space="preserve">Moyenne des charges par jour </t>
  </si>
  <si>
    <t xml:space="preserve">Objectif </t>
  </si>
  <si>
    <t>Jeudi</t>
  </si>
  <si>
    <t>Vendredi</t>
  </si>
  <si>
    <t>²</t>
  </si>
  <si>
    <t>"</t>
  </si>
  <si>
    <t xml:space="preserve">Cash restant </t>
  </si>
  <si>
    <t>Magasin</t>
  </si>
  <si>
    <t>Cash réel</t>
  </si>
  <si>
    <t>Mes dettes pour le magasin</t>
  </si>
  <si>
    <t xml:space="preserve">Fond de Roulement </t>
  </si>
  <si>
    <t xml:space="preserve">La caisse :2000 Da </t>
  </si>
  <si>
    <t xml:space="preserve">Bénéfice Sept + loyer </t>
  </si>
  <si>
    <t xml:space="preserve">Sofiane :20000Da+7000Da +30000Da +20000Da+11000=88000Da-50000Da Sifou =38000Da </t>
  </si>
  <si>
    <t>220000Da</t>
  </si>
  <si>
    <t xml:space="preserve">Nour : 10000 Da gateaux </t>
  </si>
  <si>
    <t>Différence mois de Décembre</t>
  </si>
  <si>
    <t xml:space="preserve">Sofiane : 24000Da </t>
  </si>
  <si>
    <t>les Charges Mois d'Avril: 424000Da</t>
  </si>
  <si>
    <t xml:space="preserve">Différence objectif </t>
  </si>
  <si>
    <t>CCP:30000Da</t>
  </si>
  <si>
    <t xml:space="preserve">Différence du Totale </t>
  </si>
  <si>
    <t xml:space="preserve">Les vendredis </t>
  </si>
  <si>
    <t>rest à payer</t>
  </si>
  <si>
    <t>Loyer Magasin</t>
  </si>
  <si>
    <t xml:space="preserve">Loyer Locale </t>
  </si>
  <si>
    <t xml:space="preserve">Sofiane Maison </t>
  </si>
  <si>
    <t>Dette Papa</t>
  </si>
  <si>
    <t>-</t>
  </si>
  <si>
    <t>Produit</t>
  </si>
  <si>
    <t>Quantité</t>
  </si>
  <si>
    <t xml:space="preserve">Prix unitaire </t>
  </si>
  <si>
    <t>Prix</t>
  </si>
  <si>
    <t>Date d'achat</t>
  </si>
  <si>
    <t xml:space="preserve">Semoule Fine 10kg </t>
  </si>
  <si>
    <t>Semoule Fine 25kg</t>
  </si>
  <si>
    <t>Semoule Moyenne 25kg</t>
  </si>
  <si>
    <t>Semoule Moula Gross 10 kg</t>
  </si>
  <si>
    <t>Semoule Grosse moula 2kg</t>
  </si>
  <si>
    <t>Faine 10kg</t>
  </si>
  <si>
    <t>semoule blé complet</t>
  </si>
  <si>
    <t>Levure boulangère</t>
  </si>
  <si>
    <t>Chocolat wedjedane au lait</t>
  </si>
  <si>
    <t>Chocolat wedjedane noir</t>
  </si>
  <si>
    <t>chocolat wedjedane noisette</t>
  </si>
  <si>
    <t xml:space="preserve">chocolat wedjdane Blanc </t>
  </si>
  <si>
    <t>Feuilletine</t>
  </si>
  <si>
    <t>couscous</t>
  </si>
  <si>
    <t>Semen Madina 1,8kg</t>
  </si>
  <si>
    <t xml:space="preserve">Margarine Fleurial 500g </t>
  </si>
  <si>
    <t>Margarine Feuilletage 500g</t>
  </si>
  <si>
    <t>vanille 4kg</t>
  </si>
  <si>
    <t>Amande blanc</t>
  </si>
  <si>
    <t>Amande moulu</t>
  </si>
  <si>
    <t>Noix</t>
  </si>
  <si>
    <t xml:space="preserve">pistache </t>
  </si>
  <si>
    <t>levure chimique</t>
  </si>
  <si>
    <t>lait en poudre</t>
  </si>
  <si>
    <t xml:space="preserve">Maiis </t>
  </si>
  <si>
    <t>Confiture 1kg</t>
  </si>
  <si>
    <t xml:space="preserve">confiture 500g </t>
  </si>
  <si>
    <t xml:space="preserve">Khel </t>
  </si>
  <si>
    <t>Maiizina  25kg</t>
  </si>
  <si>
    <t xml:space="preserve">Cheddar   </t>
  </si>
  <si>
    <t xml:space="preserve">Fromage slices </t>
  </si>
  <si>
    <t>Sucre cristalisé 1kg</t>
  </si>
  <si>
    <t>Sucre glace</t>
  </si>
  <si>
    <t>Harrissa</t>
  </si>
  <si>
    <t>fromage bidon 3,kg</t>
  </si>
  <si>
    <t>Sac poubelle</t>
  </si>
  <si>
    <t>isis</t>
  </si>
  <si>
    <t>bingo</t>
  </si>
  <si>
    <t>Farine 1kg</t>
  </si>
  <si>
    <t>Maa zehar</t>
  </si>
  <si>
    <t>Gherss</t>
  </si>
  <si>
    <t>sel</t>
  </si>
  <si>
    <t>deyoul industriel</t>
  </si>
  <si>
    <t>pain tacos</t>
  </si>
  <si>
    <t>Tofia caramel 2kg</t>
  </si>
  <si>
    <t>Djeldjelan</t>
  </si>
  <si>
    <t>fromage spécial pizza</t>
  </si>
  <si>
    <t xml:space="preserve">boites décoration pate à sucre </t>
  </si>
  <si>
    <t>Amande éffilet</t>
  </si>
  <si>
    <t>Raisins sec</t>
  </si>
  <si>
    <t>crème liquide 1 litre</t>
  </si>
  <si>
    <t>quissettes num 8</t>
  </si>
  <si>
    <t>assiettes temina</t>
  </si>
  <si>
    <t>patites barquettes</t>
  </si>
  <si>
    <t>motif temina</t>
  </si>
  <si>
    <t>brilex</t>
  </si>
  <si>
    <t>3akeri</t>
  </si>
  <si>
    <t>werd chouch</t>
  </si>
  <si>
    <t>9etayef</t>
  </si>
  <si>
    <t>deyoul petits</t>
  </si>
  <si>
    <t>deyoul grand</t>
  </si>
  <si>
    <t>poulet haché + blanc de poulet</t>
  </si>
  <si>
    <t>tomate fraiche</t>
  </si>
  <si>
    <t>poivre + poivron</t>
  </si>
  <si>
    <t>olive dényauté</t>
  </si>
  <si>
    <t xml:space="preserve">Huile d'olive </t>
  </si>
  <si>
    <t>Pate Feuilletée</t>
  </si>
  <si>
    <t>Les vérines</t>
  </si>
  <si>
    <t>plateaux oeufs</t>
  </si>
  <si>
    <t>bessel</t>
  </si>
  <si>
    <t>dettes légumes</t>
  </si>
  <si>
    <t>poivron couleur</t>
  </si>
  <si>
    <t>riz basmati</t>
  </si>
  <si>
    <t>camembert</t>
  </si>
  <si>
    <t>deyoul</t>
  </si>
  <si>
    <t>lavemain</t>
  </si>
  <si>
    <t>curdent</t>
  </si>
  <si>
    <t>rallonge</t>
  </si>
  <si>
    <t xml:space="preserve">fromage slices </t>
  </si>
  <si>
    <t>cuisse</t>
  </si>
  <si>
    <t>blanc de poulet slimane</t>
  </si>
  <si>
    <t>viande choreba</t>
  </si>
  <si>
    <t>gouda</t>
  </si>
  <si>
    <t>pates</t>
  </si>
  <si>
    <t>Houda yassir</t>
  </si>
  <si>
    <t>sac croissant 23</t>
  </si>
  <si>
    <t>livraison marchandise</t>
  </si>
  <si>
    <t>Heech Amel</t>
  </si>
  <si>
    <t>Heech Employées</t>
  </si>
  <si>
    <t>blanc de poulet + poulet haché</t>
  </si>
  <si>
    <t>viande hachée</t>
  </si>
  <si>
    <t>motif temina Bé bé girl</t>
  </si>
  <si>
    <t>Deyoul</t>
  </si>
  <si>
    <t>Olive noir</t>
  </si>
  <si>
    <t>crevette</t>
  </si>
  <si>
    <t>storm magasin</t>
  </si>
  <si>
    <t>Storm modem locale</t>
  </si>
  <si>
    <t>olive noir et dényauté</t>
  </si>
  <si>
    <t>prunes</t>
  </si>
  <si>
    <t>nappage</t>
  </si>
  <si>
    <t>bidon</t>
  </si>
  <si>
    <t>boites porte mangé</t>
  </si>
  <si>
    <t>fouet</t>
  </si>
  <si>
    <t>viande d'agneau</t>
  </si>
  <si>
    <t>sucre glace</t>
  </si>
  <si>
    <t>fraise</t>
  </si>
  <si>
    <t xml:space="preserve">raisins  </t>
  </si>
  <si>
    <t>kiwi</t>
  </si>
  <si>
    <t>viande</t>
  </si>
  <si>
    <t>cuisses</t>
  </si>
  <si>
    <t>cuisses désossé</t>
  </si>
  <si>
    <t>blanc de poulet</t>
  </si>
  <si>
    <t>deyoul Slimane</t>
  </si>
  <si>
    <t>confiture</t>
  </si>
  <si>
    <t>escalope</t>
  </si>
  <si>
    <t>hamissa</t>
  </si>
  <si>
    <t>tagliatelle</t>
  </si>
  <si>
    <t>sucre brun</t>
  </si>
  <si>
    <t>salade</t>
  </si>
  <si>
    <t>citron</t>
  </si>
  <si>
    <t>pomme de terre</t>
  </si>
  <si>
    <t>Thon 1kg</t>
  </si>
  <si>
    <t>Thon 2kg</t>
  </si>
  <si>
    <t>Brilex</t>
  </si>
  <si>
    <t>javel 5 litres</t>
  </si>
  <si>
    <t xml:space="preserve">Facture éléctricité Locale Mars </t>
  </si>
  <si>
    <t>Deyoul Grande Taille</t>
  </si>
  <si>
    <t>viande morceaux</t>
  </si>
  <si>
    <t>viande ghenemi</t>
  </si>
  <si>
    <t>poivre + poivron + tomate</t>
  </si>
  <si>
    <t>carotte</t>
  </si>
  <si>
    <t>courgette</t>
  </si>
  <si>
    <t>Tomate fraiche</t>
  </si>
  <si>
    <t>chakhechoukhate defer</t>
  </si>
  <si>
    <t>Terida</t>
  </si>
  <si>
    <t xml:space="preserve">poches à douille </t>
  </si>
  <si>
    <t>fromage bidon 3,8kg</t>
  </si>
  <si>
    <t>celerie + chou</t>
  </si>
  <si>
    <t>Huile Elio 5 litres</t>
  </si>
  <si>
    <t>Margarine Fleurial 500g</t>
  </si>
  <si>
    <t>Miel 5kg</t>
  </si>
  <si>
    <t>sauce samouray</t>
  </si>
  <si>
    <t xml:space="preserve">Annanas </t>
  </si>
  <si>
    <t>cionfiture figue</t>
  </si>
  <si>
    <t>poivre</t>
  </si>
  <si>
    <t>olive noir</t>
  </si>
  <si>
    <t>poivre +poivron</t>
  </si>
  <si>
    <t xml:space="preserve">courgette +pomme de terre </t>
  </si>
  <si>
    <t>aubergine</t>
  </si>
  <si>
    <t xml:space="preserve">semoule orge </t>
  </si>
  <si>
    <t>Semoule blé complet</t>
  </si>
  <si>
    <t>boite cerise confi</t>
  </si>
  <si>
    <t>persil</t>
  </si>
  <si>
    <t>épinards+ coriandre+ persil+menth</t>
  </si>
  <si>
    <t xml:space="preserve">deyoul </t>
  </si>
  <si>
    <t xml:space="preserve">huile d'olive </t>
  </si>
  <si>
    <t>dégraissant</t>
  </si>
  <si>
    <t>sac croissant 18</t>
  </si>
  <si>
    <t>sachets pain transparent</t>
  </si>
  <si>
    <t>sachets blanc 5 kg</t>
  </si>
  <si>
    <t xml:space="preserve">les boites </t>
  </si>
  <si>
    <t>tofia caramel 2kg</t>
  </si>
  <si>
    <t>fromage bidon 1,8kg</t>
  </si>
  <si>
    <t>boite 36</t>
  </si>
  <si>
    <t>boite 48/10</t>
  </si>
  <si>
    <t>boite 48/07</t>
  </si>
  <si>
    <t xml:space="preserve">Facture éléctricité Magasin Mars </t>
  </si>
  <si>
    <t>cerise confit</t>
  </si>
  <si>
    <t xml:space="preserve">légumes </t>
  </si>
  <si>
    <t>leyanates</t>
  </si>
  <si>
    <t>cuillere</t>
  </si>
  <si>
    <t>épulecheur</t>
  </si>
  <si>
    <t>Fondant</t>
  </si>
  <si>
    <t xml:space="preserve">les virines </t>
  </si>
  <si>
    <t xml:space="preserve">épinards  </t>
  </si>
  <si>
    <t>persil menth</t>
  </si>
  <si>
    <t>Thym</t>
  </si>
  <si>
    <t>ketayef</t>
  </si>
  <si>
    <t xml:space="preserve">cuisses  </t>
  </si>
  <si>
    <t>fromage portion</t>
  </si>
  <si>
    <t>Hamissa</t>
  </si>
  <si>
    <t>orgonza4,5</t>
  </si>
  <si>
    <t>orgonza 5,5</t>
  </si>
  <si>
    <t>briquet</t>
  </si>
  <si>
    <t xml:space="preserve">javel  </t>
  </si>
  <si>
    <t>fromage rouge</t>
  </si>
  <si>
    <t xml:space="preserve">citron </t>
  </si>
  <si>
    <t>gherss</t>
  </si>
  <si>
    <t>coriandre +menth+persil</t>
  </si>
  <si>
    <t>salade+persil</t>
  </si>
  <si>
    <t>Facture Cevital</t>
  </si>
  <si>
    <t>Transport et Manutention Semoule et Farine</t>
  </si>
  <si>
    <t>rechta</t>
  </si>
  <si>
    <t xml:space="preserve">crème liquide 4 fromage </t>
  </si>
  <si>
    <t>raisins secs</t>
  </si>
  <si>
    <t>ferik</t>
  </si>
  <si>
    <t xml:space="preserve">Amande blanc </t>
  </si>
  <si>
    <t>amande moulu</t>
  </si>
  <si>
    <t xml:space="preserve">Amande marron </t>
  </si>
  <si>
    <t xml:space="preserve">Cacauètte </t>
  </si>
  <si>
    <t>Maiis</t>
  </si>
  <si>
    <t>fromage bidon</t>
  </si>
  <si>
    <t>noix de cajou</t>
  </si>
  <si>
    <t>djeldjelan</t>
  </si>
  <si>
    <t xml:space="preserve">Farine 1kg </t>
  </si>
  <si>
    <t>Semoule grosse 2kg</t>
  </si>
  <si>
    <t>chocolat wedjedane</t>
  </si>
  <si>
    <t xml:space="preserve">Pate à sucre </t>
  </si>
  <si>
    <t>nacé</t>
  </si>
  <si>
    <t>pinceau</t>
  </si>
  <si>
    <t xml:space="preserve">viande </t>
  </si>
  <si>
    <t>blanc de poulet + blanc de poulet</t>
  </si>
  <si>
    <t>frik</t>
  </si>
  <si>
    <t>blanc de poulet + poulrt haché</t>
  </si>
  <si>
    <t>Bessel</t>
  </si>
  <si>
    <t>cristeaux</t>
  </si>
  <si>
    <t xml:space="preserve">goufrette </t>
  </si>
  <si>
    <t>candia</t>
  </si>
  <si>
    <t>me7alebi</t>
  </si>
  <si>
    <t>sucre de dattes</t>
  </si>
  <si>
    <t>Deyoul petit</t>
  </si>
  <si>
    <t xml:space="preserve">Boite demie Plateaux </t>
  </si>
  <si>
    <t xml:space="preserve">plateaux  </t>
  </si>
  <si>
    <t xml:space="preserve">Fondant </t>
  </si>
  <si>
    <t>cacao</t>
  </si>
  <si>
    <t>les poches</t>
  </si>
  <si>
    <t>Viande hachée</t>
  </si>
  <si>
    <t xml:space="preserve">Noix  </t>
  </si>
  <si>
    <t xml:space="preserve">poivre + tomate </t>
  </si>
  <si>
    <t>fleur de décoration</t>
  </si>
  <si>
    <t>acide citrique</t>
  </si>
  <si>
    <t>lait candia</t>
  </si>
  <si>
    <t>poudre mehalebi</t>
  </si>
  <si>
    <t>oeufs</t>
  </si>
  <si>
    <t>pomme de terre , citon + persil</t>
  </si>
  <si>
    <t xml:space="preserve">livraison marchandise et Manutention </t>
  </si>
  <si>
    <t xml:space="preserve">sucre glace </t>
  </si>
  <si>
    <t xml:space="preserve">Sucre glace </t>
  </si>
  <si>
    <t>terida</t>
  </si>
  <si>
    <t xml:space="preserve">tomate </t>
  </si>
  <si>
    <t>DENTELLE DOR2</t>
  </si>
  <si>
    <t>amande bla,c</t>
  </si>
  <si>
    <t>demie boite</t>
  </si>
  <si>
    <t>madlene</t>
  </si>
  <si>
    <t>margarine Fleurial 500g</t>
  </si>
  <si>
    <t>Yassir Saida</t>
  </si>
  <si>
    <t>Quissettes dorés</t>
  </si>
  <si>
    <t>Motif 3id</t>
  </si>
  <si>
    <t>Motif gateaux</t>
  </si>
  <si>
    <t>Nakkache</t>
  </si>
  <si>
    <t>Amina Baghrir</t>
  </si>
  <si>
    <t>Motifs 3id</t>
  </si>
  <si>
    <t>sachets blanc 5kg</t>
  </si>
  <si>
    <t>sac croissant 19</t>
  </si>
  <si>
    <t>Dettes Mourad</t>
  </si>
  <si>
    <t>Chiffons</t>
  </si>
  <si>
    <t>Balance</t>
  </si>
  <si>
    <t>Barquettes alimentaire+ liraison</t>
  </si>
  <si>
    <t>HP 1500 CC</t>
  </si>
  <si>
    <t>HP 1000CC</t>
  </si>
  <si>
    <t>quissetes blanc num 10</t>
  </si>
  <si>
    <t>quissetes blanc num 12</t>
  </si>
  <si>
    <t>Serviette en papier</t>
  </si>
  <si>
    <t>Lahssen Dette</t>
  </si>
  <si>
    <t>boite Raib</t>
  </si>
  <si>
    <t>Boite 48/10</t>
  </si>
  <si>
    <t>Boite 48/07</t>
  </si>
  <si>
    <t>Boite 36</t>
  </si>
  <si>
    <t>Boite 24</t>
  </si>
  <si>
    <t>Boite 12</t>
  </si>
  <si>
    <t>Boite 18</t>
  </si>
  <si>
    <t>Boites plateaux</t>
  </si>
  <si>
    <t>papier aluminium</t>
  </si>
  <si>
    <t>Sachets blanc 5kg</t>
  </si>
  <si>
    <t>Totale</t>
  </si>
  <si>
    <t>Saida</t>
  </si>
  <si>
    <t xml:space="preserve">Fatiha </t>
  </si>
  <si>
    <t xml:space="preserve">Assia </t>
  </si>
  <si>
    <t>Samira</t>
  </si>
  <si>
    <t>Nour ElHouda</t>
  </si>
  <si>
    <t xml:space="preserve">Yasmine </t>
  </si>
  <si>
    <t xml:space="preserve">Zohra </t>
  </si>
  <si>
    <t>Rayan</t>
  </si>
  <si>
    <t xml:space="preserve">Amina </t>
  </si>
  <si>
    <t xml:space="preserve">Khalida </t>
  </si>
  <si>
    <t xml:space="preserve">Amina Ain Beniane </t>
  </si>
  <si>
    <t>Ahlem</t>
  </si>
  <si>
    <t>Houda Oueld Fayet</t>
  </si>
  <si>
    <t xml:space="preserve">Selma </t>
  </si>
  <si>
    <t xml:space="preserve">Merieioma </t>
  </si>
  <si>
    <t xml:space="preserve">Israa </t>
  </si>
  <si>
    <t xml:space="preserve">Wafa </t>
  </si>
  <si>
    <t xml:space="preserve">Retard: Yasmine + Assia </t>
  </si>
  <si>
    <t xml:space="preserve">Retard: Houda </t>
  </si>
  <si>
    <t xml:space="preserve">Retard : Yasmine </t>
  </si>
  <si>
    <t>Rayan djate directe men Batna au boulot</t>
  </si>
  <si>
    <t xml:space="preserve">Houda + Douaa </t>
  </si>
  <si>
    <t>Houda et Douaa double journée</t>
  </si>
  <si>
    <t xml:space="preserve">Heures suplimentaires </t>
  </si>
  <si>
    <t xml:space="preserve">Nom </t>
  </si>
  <si>
    <t>Avance</t>
  </si>
  <si>
    <t xml:space="preserve">Salaire à payer </t>
  </si>
  <si>
    <t xml:space="preserve">Sofiane </t>
  </si>
  <si>
    <t>Amel</t>
  </si>
  <si>
    <t>20000+11000</t>
  </si>
  <si>
    <t>Fatiha</t>
  </si>
  <si>
    <t>500+15000+2000</t>
  </si>
  <si>
    <t>Assia</t>
  </si>
  <si>
    <t>1000+5000+25000</t>
  </si>
  <si>
    <t>1000+1000+10000+6500</t>
  </si>
  <si>
    <t>Yasmine</t>
  </si>
  <si>
    <t>6000+28000</t>
  </si>
  <si>
    <t>Amina</t>
  </si>
  <si>
    <t>5000+12000</t>
  </si>
  <si>
    <t>Khalida</t>
  </si>
  <si>
    <t>Amina Ain Beniane</t>
  </si>
  <si>
    <t>Houda Ouled Fayet</t>
  </si>
  <si>
    <t>Selma</t>
  </si>
  <si>
    <t xml:space="preserve">wafa </t>
  </si>
  <si>
    <t>Israa</t>
  </si>
  <si>
    <t>TOTAL</t>
  </si>
  <si>
    <t>Mois de Janvier 2025</t>
  </si>
  <si>
    <t>Mois de Février  2025</t>
  </si>
  <si>
    <t>Mois de Mars  2025</t>
  </si>
  <si>
    <t>Salaires</t>
  </si>
  <si>
    <t xml:space="preserve">Che7i7a </t>
  </si>
  <si>
    <t>Loyer+Dettes</t>
  </si>
  <si>
    <t xml:space="preserve">Profit Net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</si>
</sst>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#,##0\ [$€-1]"/>
    <numFmt numFmtId="165" formatCode="dd/mm/yyyy"/>
    <numFmt numFmtId="166" formatCode="#,##0.00\ [$€-1]"/>
    <numFmt numFmtId="167" formatCode="d/m/yyyy"/>
    <numFmt numFmtId="168" formatCode="&quot;$&quot;#,##0.00"/>
  </numFmts>
  <fonts count="24">
    <font>
      <sz val="10.0"/>
      <color rgb="FF000000"/>
      <name val="Arial"/>
      <scheme val="minor"/>
    </font>
    <font>
      <color theme="1"/>
      <name val="Arial"/>
    </font>
    <font>
      <b/>
      <sz val="18.0"/>
      <color theme="1"/>
      <name val="Arial"/>
    </font>
    <font>
      <sz val="18.0"/>
      <color theme="1"/>
      <name val="Arial"/>
    </font>
    <font>
      <sz val="19.0"/>
      <color theme="1"/>
      <name val="Arial"/>
    </font>
    <font>
      <sz val="17.0"/>
      <color theme="1"/>
      <name val="Arial"/>
    </font>
    <font>
      <sz val="16.0"/>
      <color theme="1"/>
      <name val="Arial"/>
    </font>
    <font>
      <sz val="18.0"/>
      <color rgb="FFFF0000"/>
      <name val="Arial"/>
    </font>
    <font>
      <sz val="18.0"/>
      <color rgb="FFFFFF00"/>
      <name val="Arial"/>
    </font>
    <font>
      <b/>
      <sz val="20.0"/>
      <color theme="1"/>
      <name val="Arial"/>
    </font>
    <font>
      <sz val="18.0"/>
      <color rgb="FF434343"/>
      <name val="Roboto"/>
    </font>
    <font>
      <sz val="21.0"/>
      <color theme="1"/>
      <name val="Arial"/>
    </font>
    <font>
      <color theme="1"/>
      <name val="Arial"/>
      <scheme val="minor"/>
    </font>
    <font>
      <sz val="20.0"/>
      <color theme="1"/>
      <name val="Arial"/>
    </font>
    <font/>
    <font>
      <b/>
      <sz val="24.0"/>
      <color theme="1"/>
      <name val="Arial"/>
    </font>
    <font>
      <sz val="18.0"/>
      <color rgb="FF434343"/>
      <name val="Arial"/>
    </font>
    <font>
      <sz val="17.0"/>
      <color rgb="FF434343"/>
      <name val="Arial"/>
    </font>
    <font>
      <b/>
      <sz val="20.0"/>
      <color rgb="FF434343"/>
      <name val="Arial"/>
    </font>
    <font>
      <b/>
      <sz val="20.0"/>
      <color rgb="FF1C4587"/>
      <name val="Arial"/>
    </font>
    <font>
      <b/>
      <sz val="19.0"/>
      <color theme="1"/>
      <name val="Arial"/>
    </font>
    <font>
      <b/>
      <sz val="17.0"/>
      <color theme="1"/>
      <name val="Arial"/>
    </font>
    <font>
      <sz val="18.0"/>
      <color theme="1"/>
      <name val="Arial"/>
      <scheme val="minor"/>
    </font>
    <font>
      <sz val="22.0"/>
      <color theme="1"/>
      <name val="Arial"/>
    </font>
  </fonts>
  <fills count="19">
    <fill>
      <patternFill patternType="none"/>
    </fill>
    <fill>
      <patternFill patternType="lightGray"/>
    </fill>
    <fill>
      <patternFill patternType="solid">
        <fgColor rgb="FFA4C2F4"/>
        <bgColor rgb="FFA4C2F4"/>
      </patternFill>
    </fill>
    <fill>
      <patternFill patternType="solid">
        <fgColor rgb="FFFF00FF"/>
        <bgColor rgb="FFFF00FF"/>
      </patternFill>
    </fill>
    <fill>
      <patternFill patternType="solid">
        <fgColor rgb="FF00FFFF"/>
        <bgColor rgb="FF00FFFF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  <fill>
      <patternFill patternType="solid">
        <fgColor rgb="FF6AA84F"/>
        <bgColor rgb="FF6AA84F"/>
      </patternFill>
    </fill>
    <fill>
      <patternFill patternType="solid">
        <fgColor rgb="FF93C47D"/>
        <bgColor rgb="FF93C47D"/>
      </patternFill>
    </fill>
    <fill>
      <patternFill patternType="solid">
        <fgColor rgb="FFFF0000"/>
        <bgColor rgb="FFFF0000"/>
      </patternFill>
    </fill>
    <fill>
      <patternFill patternType="solid">
        <fgColor rgb="FFB6D7A8"/>
        <bgColor rgb="FFB6D7A8"/>
      </patternFill>
    </fill>
    <fill>
      <patternFill patternType="solid">
        <fgColor rgb="FFCFE2F3"/>
        <bgColor rgb="FFCFE2F3"/>
      </patternFill>
    </fill>
    <fill>
      <patternFill patternType="solid">
        <fgColor rgb="FFEA9999"/>
        <bgColor rgb="FFEA9999"/>
      </patternFill>
    </fill>
    <fill>
      <patternFill patternType="solid">
        <fgColor rgb="FFFFE599"/>
        <bgColor rgb="FFFFE599"/>
      </patternFill>
    </fill>
    <fill>
      <patternFill patternType="solid">
        <fgColor rgb="FFD5A6BD"/>
        <bgColor rgb="FFD5A6BD"/>
      </patternFill>
    </fill>
    <fill>
      <patternFill patternType="solid">
        <fgColor rgb="FFD9EAD3"/>
        <bgColor rgb="FFD9EAD3"/>
      </patternFill>
    </fill>
    <fill>
      <patternFill patternType="solid">
        <fgColor rgb="FFF8F9FA"/>
        <bgColor rgb="FFF8F9FA"/>
      </patternFill>
    </fill>
    <fill>
      <patternFill patternType="solid">
        <fgColor rgb="FFC9DAF8"/>
        <bgColor rgb="FFC9DAF8"/>
      </patternFill>
    </fill>
  </fills>
  <borders count="7">
    <border/>
    <border>
      <right style="thin">
        <color rgb="FF000000"/>
      </right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</border>
  </borders>
  <cellStyleXfs count="1">
    <xf borderId="0" fillId="0" fontId="0" numFmtId="0" applyAlignment="1" applyFont="1"/>
  </cellStyleXfs>
  <cellXfs count="24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vertical="bottom"/>
    </xf>
    <xf borderId="2" fillId="2" fontId="2" numFmtId="0" xfId="0" applyAlignment="1" applyBorder="1" applyFill="1" applyFont="1">
      <alignment horizontal="center" vertical="bottom"/>
    </xf>
    <xf borderId="2" fillId="2" fontId="3" numFmtId="0" xfId="0" applyAlignment="1" applyBorder="1" applyFont="1">
      <alignment horizontal="center" readingOrder="0" vertical="bottom"/>
    </xf>
    <xf borderId="2" fillId="2" fontId="3" numFmtId="0" xfId="0" applyAlignment="1" applyBorder="1" applyFont="1">
      <alignment horizontal="center" vertical="bottom"/>
    </xf>
    <xf borderId="2" fillId="2" fontId="3" numFmtId="164" xfId="0" applyAlignment="1" applyBorder="1" applyFont="1" applyNumberFormat="1">
      <alignment horizontal="center" vertical="bottom"/>
    </xf>
    <xf borderId="0" fillId="0" fontId="1" numFmtId="0" xfId="0" applyAlignment="1" applyFont="1">
      <alignment vertical="bottom"/>
    </xf>
    <xf borderId="2" fillId="3" fontId="3" numFmtId="0" xfId="0" applyAlignment="1" applyBorder="1" applyFill="1" applyFont="1">
      <alignment horizontal="center" vertical="bottom"/>
    </xf>
    <xf borderId="2" fillId="4" fontId="3" numFmtId="0" xfId="0" applyAlignment="1" applyBorder="1" applyFill="1" applyFont="1">
      <alignment horizontal="center" readingOrder="0" vertical="bottom"/>
    </xf>
    <xf borderId="3" fillId="5" fontId="3" numFmtId="0" xfId="0" applyAlignment="1" applyBorder="1" applyFill="1" applyFont="1">
      <alignment horizontal="center" readingOrder="0" vertical="bottom"/>
    </xf>
    <xf borderId="1" fillId="5" fontId="3" numFmtId="165" xfId="0" applyAlignment="1" applyBorder="1" applyFont="1" applyNumberFormat="1">
      <alignment horizontal="center" readingOrder="0" vertical="bottom"/>
    </xf>
    <xf borderId="1" fillId="5" fontId="3" numFmtId="166" xfId="0" applyAlignment="1" applyBorder="1" applyFont="1" applyNumberFormat="1">
      <alignment horizontal="center" readingOrder="0" vertical="bottom"/>
    </xf>
    <xf borderId="1" fillId="5" fontId="1" numFmtId="0" xfId="0" applyAlignment="1" applyBorder="1" applyFont="1">
      <alignment vertical="bottom"/>
    </xf>
    <xf borderId="1" fillId="5" fontId="3" numFmtId="164" xfId="0" applyAlignment="1" applyBorder="1" applyFont="1" applyNumberFormat="1">
      <alignment horizontal="right" vertical="bottom"/>
    </xf>
    <xf borderId="1" fillId="5" fontId="3" numFmtId="166" xfId="0" applyAlignment="1" applyBorder="1" applyFont="1" applyNumberFormat="1">
      <alignment horizontal="center" vertical="bottom"/>
    </xf>
    <xf borderId="1" fillId="5" fontId="3" numFmtId="0" xfId="0" applyAlignment="1" applyBorder="1" applyFont="1">
      <alignment horizontal="center" vertical="bottom"/>
    </xf>
    <xf borderId="0" fillId="5" fontId="1" numFmtId="0" xfId="0" applyAlignment="1" applyFont="1">
      <alignment vertical="bottom"/>
    </xf>
    <xf borderId="1" fillId="5" fontId="1" numFmtId="166" xfId="0" applyAlignment="1" applyBorder="1" applyFont="1" applyNumberFormat="1">
      <alignment vertical="bottom"/>
    </xf>
    <xf borderId="4" fillId="6" fontId="3" numFmtId="0" xfId="0" applyAlignment="1" applyBorder="1" applyFill="1" applyFont="1">
      <alignment horizontal="center" vertical="bottom"/>
    </xf>
    <xf borderId="0" fillId="7" fontId="3" numFmtId="0" xfId="0" applyAlignment="1" applyFill="1" applyFont="1">
      <alignment horizontal="center" vertical="bottom"/>
    </xf>
    <xf borderId="0" fillId="0" fontId="3" numFmtId="0" xfId="0" applyAlignment="1" applyFont="1">
      <alignment vertical="bottom"/>
    </xf>
    <xf borderId="1" fillId="4" fontId="3" numFmtId="166" xfId="0" applyAlignment="1" applyBorder="1" applyFont="1" applyNumberFormat="1">
      <alignment horizontal="center" vertical="bottom"/>
    </xf>
    <xf borderId="0" fillId="0" fontId="1" numFmtId="166" xfId="0" applyAlignment="1" applyFont="1" applyNumberFormat="1">
      <alignment vertical="bottom"/>
    </xf>
    <xf borderId="0" fillId="0" fontId="3" numFmtId="10" xfId="0" applyAlignment="1" applyFont="1" applyNumberFormat="1">
      <alignment horizontal="center" vertical="bottom"/>
    </xf>
    <xf borderId="1" fillId="5" fontId="3" numFmtId="0" xfId="0" applyAlignment="1" applyBorder="1" applyFont="1">
      <alignment horizontal="center" readingOrder="0" vertical="bottom"/>
    </xf>
    <xf borderId="0" fillId="0" fontId="1" numFmtId="10" xfId="0" applyAlignment="1" applyFont="1" applyNumberFormat="1">
      <alignment vertical="bottom"/>
    </xf>
    <xf borderId="1" fillId="7" fontId="3" numFmtId="0" xfId="0" applyAlignment="1" applyBorder="1" applyFont="1">
      <alignment horizontal="center" vertical="bottom"/>
    </xf>
    <xf borderId="1" fillId="7" fontId="3" numFmtId="166" xfId="0" applyAlignment="1" applyBorder="1" applyFont="1" applyNumberFormat="1">
      <alignment horizontal="center" vertical="bottom"/>
    </xf>
    <xf borderId="1" fillId="0" fontId="3" numFmtId="166" xfId="0" applyAlignment="1" applyBorder="1" applyFont="1" applyNumberFormat="1">
      <alignment horizontal="center" vertical="bottom"/>
    </xf>
    <xf borderId="3" fillId="8" fontId="3" numFmtId="0" xfId="0" applyAlignment="1" applyBorder="1" applyFill="1" applyFont="1">
      <alignment horizontal="center" readingOrder="0" vertical="bottom"/>
    </xf>
    <xf borderId="1" fillId="8" fontId="3" numFmtId="165" xfId="0" applyAlignment="1" applyBorder="1" applyFont="1" applyNumberFormat="1">
      <alignment horizontal="center" readingOrder="0" vertical="bottom"/>
    </xf>
    <xf borderId="1" fillId="8" fontId="3" numFmtId="166" xfId="0" applyAlignment="1" applyBorder="1" applyFont="1" applyNumberFormat="1">
      <alignment horizontal="center" readingOrder="0" vertical="bottom"/>
    </xf>
    <xf borderId="1" fillId="8" fontId="1" numFmtId="0" xfId="0" applyAlignment="1" applyBorder="1" applyFont="1">
      <alignment vertical="bottom"/>
    </xf>
    <xf borderId="1" fillId="8" fontId="3" numFmtId="164" xfId="0" applyAlignment="1" applyBorder="1" applyFont="1" applyNumberFormat="1">
      <alignment horizontal="right" vertical="bottom"/>
    </xf>
    <xf borderId="1" fillId="8" fontId="3" numFmtId="0" xfId="0" applyAlignment="1" applyBorder="1" applyFont="1">
      <alignment horizontal="center" readingOrder="0" vertical="bottom"/>
    </xf>
    <xf borderId="1" fillId="9" fontId="3" numFmtId="166" xfId="0" applyAlignment="1" applyBorder="1" applyFill="1" applyFont="1" applyNumberFormat="1">
      <alignment horizontal="center" vertical="bottom"/>
    </xf>
    <xf borderId="1" fillId="6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horizontal="center" vertical="bottom"/>
    </xf>
    <xf borderId="1" fillId="0" fontId="3" numFmtId="0" xfId="0" applyAlignment="1" applyBorder="1" applyFont="1">
      <alignment vertical="bottom"/>
    </xf>
    <xf borderId="1" fillId="4" fontId="3" numFmtId="166" xfId="0" applyAlignment="1" applyBorder="1" applyFont="1" applyNumberFormat="1">
      <alignment horizontal="center" readingOrder="0" vertical="bottom"/>
    </xf>
    <xf borderId="0" fillId="0" fontId="3" numFmtId="166" xfId="0" applyAlignment="1" applyFont="1" applyNumberFormat="1">
      <alignment horizontal="center" readingOrder="0" vertical="bottom"/>
    </xf>
    <xf borderId="1" fillId="0" fontId="1" numFmtId="166" xfId="0" applyAlignment="1" applyBorder="1" applyFont="1" applyNumberFormat="1">
      <alignment vertical="bottom"/>
    </xf>
    <xf borderId="1" fillId="0" fontId="4" numFmtId="166" xfId="0" applyAlignment="1" applyBorder="1" applyFont="1" applyNumberFormat="1">
      <alignment horizontal="center" vertical="bottom"/>
    </xf>
    <xf borderId="0" fillId="0" fontId="4" numFmtId="166" xfId="0" applyAlignment="1" applyFont="1" applyNumberFormat="1">
      <alignment readingOrder="0" vertical="bottom"/>
    </xf>
    <xf borderId="0" fillId="0" fontId="5" numFmtId="0" xfId="0" applyAlignment="1" applyFont="1">
      <alignment readingOrder="0" vertical="bottom"/>
    </xf>
    <xf borderId="0" fillId="5" fontId="1" numFmtId="0" xfId="0" applyAlignment="1" applyFont="1">
      <alignment readingOrder="0" vertical="bottom"/>
    </xf>
    <xf borderId="0" fillId="0" fontId="3" numFmtId="166" xfId="0" applyAlignment="1" applyFont="1" applyNumberFormat="1">
      <alignment horizontal="center" vertical="bottom"/>
    </xf>
    <xf borderId="0" fillId="5" fontId="3" numFmtId="166" xfId="0" applyAlignment="1" applyFont="1" applyNumberFormat="1">
      <alignment horizontal="center" vertical="bottom"/>
    </xf>
    <xf borderId="0" fillId="0" fontId="3" numFmtId="166" xfId="0" applyAlignment="1" applyFont="1" applyNumberFormat="1">
      <alignment readingOrder="0" vertical="bottom"/>
    </xf>
    <xf borderId="4" fillId="0" fontId="1" numFmtId="166" xfId="0" applyAlignment="1" applyBorder="1" applyFont="1" applyNumberFormat="1">
      <alignment vertical="bottom"/>
    </xf>
    <xf borderId="0" fillId="5" fontId="1" numFmtId="166" xfId="0" applyAlignment="1" applyFont="1" applyNumberFormat="1">
      <alignment vertical="bottom"/>
    </xf>
    <xf borderId="0" fillId="0" fontId="6" numFmtId="166" xfId="0" applyAlignment="1" applyFont="1" applyNumberFormat="1">
      <alignment readingOrder="0" vertical="bottom"/>
    </xf>
    <xf borderId="0" fillId="0" fontId="1" numFmtId="167" xfId="0" applyAlignment="1" applyFont="1" applyNumberFormat="1">
      <alignment vertical="bottom"/>
    </xf>
    <xf borderId="4" fillId="6" fontId="7" numFmtId="166" xfId="0" applyAlignment="1" applyBorder="1" applyFont="1" applyNumberFormat="1">
      <alignment horizontal="center" vertical="bottom"/>
    </xf>
    <xf borderId="0" fillId="0" fontId="4" numFmtId="166" xfId="0" applyAlignment="1" applyFont="1" applyNumberFormat="1">
      <alignment horizontal="right" readingOrder="0" vertical="bottom"/>
    </xf>
    <xf borderId="0" fillId="5" fontId="5" numFmtId="166" xfId="0" applyAlignment="1" applyFont="1" applyNumberFormat="1">
      <alignment readingOrder="0" vertical="bottom"/>
    </xf>
    <xf borderId="1" fillId="10" fontId="8" numFmtId="0" xfId="0" applyAlignment="1" applyBorder="1" applyFill="1" applyFont="1">
      <alignment horizontal="center" vertical="bottom"/>
    </xf>
    <xf borderId="0" fillId="5" fontId="3" numFmtId="166" xfId="0" applyAlignment="1" applyFont="1" applyNumberFormat="1">
      <alignment horizontal="center" readingOrder="0" vertical="bottom"/>
    </xf>
    <xf borderId="1" fillId="4" fontId="3" numFmtId="0" xfId="0" applyAlignment="1" applyBorder="1" applyFont="1">
      <alignment horizontal="center" vertical="bottom"/>
    </xf>
    <xf borderId="1" fillId="10" fontId="3" numFmtId="0" xfId="0" applyAlignment="1" applyBorder="1" applyFont="1">
      <alignment horizontal="center" vertical="bottom"/>
    </xf>
    <xf borderId="0" fillId="5" fontId="3" numFmtId="0" xfId="0" applyAlignment="1" applyFont="1">
      <alignment horizontal="center" vertical="bottom"/>
    </xf>
    <xf borderId="1" fillId="5" fontId="1" numFmtId="165" xfId="0" applyAlignment="1" applyBorder="1" applyFont="1" applyNumberFormat="1">
      <alignment vertical="bottom"/>
    </xf>
    <xf borderId="1" fillId="5" fontId="2" numFmtId="166" xfId="0" applyAlignment="1" applyBorder="1" applyFont="1" applyNumberFormat="1">
      <alignment horizontal="center" vertical="bottom"/>
    </xf>
    <xf borderId="1" fillId="5" fontId="2" numFmtId="164" xfId="0" applyAlignment="1" applyBorder="1" applyFont="1" applyNumberFormat="1">
      <alignment horizontal="center" vertical="bottom"/>
    </xf>
    <xf borderId="1" fillId="5" fontId="2" numFmtId="0" xfId="0" applyAlignment="1" applyBorder="1" applyFont="1">
      <alignment horizontal="center" vertical="bottom"/>
    </xf>
    <xf borderId="1" fillId="11" fontId="3" numFmtId="166" xfId="0" applyAlignment="1" applyBorder="1" applyFill="1" applyFont="1" applyNumberFormat="1">
      <alignment horizontal="center" vertical="bottom"/>
    </xf>
    <xf borderId="0" fillId="0" fontId="1" numFmtId="165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5" fillId="0" fontId="3" numFmtId="0" xfId="0" applyAlignment="1" applyBorder="1" applyFont="1">
      <alignment horizontal="center" vertical="bottom"/>
    </xf>
    <xf borderId="5" fillId="0" fontId="3" numFmtId="168" xfId="0" applyAlignment="1" applyBorder="1" applyFont="1" applyNumberFormat="1">
      <alignment horizontal="center" vertical="bottom"/>
    </xf>
    <xf borderId="5" fillId="0" fontId="3" numFmtId="166" xfId="0" applyAlignment="1" applyBorder="1" applyFont="1" applyNumberFormat="1">
      <alignment horizontal="center" vertical="bottom"/>
    </xf>
    <xf borderId="0" fillId="0" fontId="4" numFmtId="0" xfId="0" applyAlignment="1" applyFont="1">
      <alignment readingOrder="0" vertical="bottom"/>
    </xf>
    <xf borderId="0" fillId="0" fontId="1" numFmtId="0" xfId="0" applyAlignment="1" applyFont="1">
      <alignment horizontal="right" vertical="bottom"/>
    </xf>
    <xf borderId="1" fillId="11" fontId="9" numFmtId="0" xfId="0" applyAlignment="1" applyBorder="1" applyFont="1">
      <alignment horizontal="center" vertical="bottom"/>
    </xf>
    <xf borderId="2" fillId="11" fontId="9" numFmtId="0" xfId="0" applyAlignment="1" applyBorder="1" applyFont="1">
      <alignment horizontal="center" vertical="bottom"/>
    </xf>
    <xf borderId="2" fillId="5" fontId="3" numFmtId="166" xfId="0" applyAlignment="1" applyBorder="1" applyFont="1" applyNumberFormat="1">
      <alignment horizontal="center" vertical="bottom"/>
    </xf>
    <xf borderId="1" fillId="5" fontId="3" numFmtId="165" xfId="0" applyAlignment="1" applyBorder="1" applyFont="1" applyNumberFormat="1">
      <alignment horizontal="center" vertical="bottom"/>
    </xf>
    <xf borderId="1" fillId="5" fontId="10" numFmtId="0" xfId="0" applyAlignment="1" applyBorder="1" applyFont="1">
      <alignment horizontal="center" shrinkToFit="0" vertical="bottom" wrapText="0"/>
    </xf>
    <xf borderId="1" fillId="5" fontId="10" numFmtId="0" xfId="0" applyAlignment="1" applyBorder="1" applyFont="1">
      <alignment horizontal="center" readingOrder="0" shrinkToFit="0" vertical="bottom" wrapText="0"/>
    </xf>
    <xf borderId="1" fillId="5" fontId="10" numFmtId="166" xfId="0" applyAlignment="1" applyBorder="1" applyFont="1" applyNumberFormat="1">
      <alignment horizontal="center" shrinkToFit="0" vertical="bottom" wrapText="0"/>
    </xf>
    <xf borderId="2" fillId="5" fontId="3" numFmtId="166" xfId="0" applyAlignment="1" applyBorder="1" applyFont="1" applyNumberFormat="1">
      <alignment horizontal="center" vertical="bottom"/>
    </xf>
    <xf borderId="3" fillId="5" fontId="3" numFmtId="0" xfId="0" applyAlignment="1" applyBorder="1" applyFont="1">
      <alignment horizontal="center" vertical="bottom"/>
    </xf>
    <xf borderId="1" fillId="5" fontId="6" numFmtId="0" xfId="0" applyAlignment="1" applyBorder="1" applyFont="1">
      <alignment horizontal="center" vertical="bottom"/>
    </xf>
    <xf borderId="1" fillId="5" fontId="6" numFmtId="0" xfId="0" applyAlignment="1" applyBorder="1" applyFont="1">
      <alignment horizontal="center" readingOrder="0" vertical="bottom"/>
    </xf>
    <xf borderId="1" fillId="5" fontId="6" numFmtId="166" xfId="0" applyAlignment="1" applyBorder="1" applyFont="1" applyNumberFormat="1">
      <alignment horizontal="center" vertical="bottom"/>
    </xf>
    <xf borderId="2" fillId="5" fontId="6" numFmtId="166" xfId="0" applyAlignment="1" applyBorder="1" applyFont="1" applyNumberFormat="1">
      <alignment horizontal="center" vertical="bottom"/>
    </xf>
    <xf borderId="1" fillId="5" fontId="5" numFmtId="0" xfId="0" applyAlignment="1" applyBorder="1" applyFont="1">
      <alignment horizontal="center" readingOrder="0" vertical="bottom"/>
    </xf>
    <xf borderId="1" fillId="5" fontId="5" numFmtId="166" xfId="0" applyAlignment="1" applyBorder="1" applyFont="1" applyNumberFormat="1">
      <alignment horizontal="center" readingOrder="0" vertical="bottom"/>
    </xf>
    <xf borderId="2" fillId="5" fontId="5" numFmtId="166" xfId="0" applyAlignment="1" applyBorder="1" applyFont="1" applyNumberFormat="1">
      <alignment horizontal="center" vertical="bottom"/>
    </xf>
    <xf borderId="1" fillId="5" fontId="5" numFmtId="0" xfId="0" applyAlignment="1" applyBorder="1" applyFont="1">
      <alignment horizontal="center" vertical="bottom"/>
    </xf>
    <xf borderId="1" fillId="5" fontId="5" numFmtId="166" xfId="0" applyAlignment="1" applyBorder="1" applyFont="1" applyNumberFormat="1">
      <alignment horizontal="center" vertical="bottom"/>
    </xf>
    <xf borderId="3" fillId="5" fontId="5" numFmtId="0" xfId="0" applyAlignment="1" applyBorder="1" applyFont="1">
      <alignment horizontal="center" vertical="bottom"/>
    </xf>
    <xf borderId="1" fillId="5" fontId="5" numFmtId="165" xfId="0" applyAlignment="1" applyBorder="1" applyFont="1" applyNumberFormat="1">
      <alignment horizontal="center" vertical="bottom"/>
    </xf>
    <xf borderId="1" fillId="5" fontId="5" numFmtId="165" xfId="0" applyAlignment="1" applyBorder="1" applyFont="1" applyNumberFormat="1">
      <alignment horizontal="center" readingOrder="0" vertical="bottom"/>
    </xf>
    <xf borderId="1" fillId="5" fontId="1" numFmtId="165" xfId="0" applyAlignment="1" applyBorder="1" applyFont="1" applyNumberFormat="1">
      <alignment readingOrder="0" vertical="bottom"/>
    </xf>
    <xf borderId="1" fillId="12" fontId="5" numFmtId="0" xfId="0" applyAlignment="1" applyBorder="1" applyFill="1" applyFont="1">
      <alignment horizontal="center" readingOrder="0" vertical="bottom"/>
    </xf>
    <xf borderId="1" fillId="12" fontId="5" numFmtId="166" xfId="0" applyAlignment="1" applyBorder="1" applyFont="1" applyNumberFormat="1">
      <alignment horizontal="center" readingOrder="0" vertical="bottom"/>
    </xf>
    <xf borderId="2" fillId="12" fontId="5" numFmtId="166" xfId="0" applyAlignment="1" applyBorder="1" applyFont="1" applyNumberFormat="1">
      <alignment horizontal="center" vertical="bottom"/>
    </xf>
    <xf borderId="1" fillId="5" fontId="11" numFmtId="165" xfId="0" applyAlignment="1" applyBorder="1" applyFont="1" applyNumberFormat="1">
      <alignment readingOrder="0" vertical="bottom"/>
    </xf>
    <xf borderId="1" fillId="2" fontId="3" numFmtId="0" xfId="0" applyAlignment="1" applyBorder="1" applyFont="1">
      <alignment horizontal="center" readingOrder="0" vertical="bottom"/>
    </xf>
    <xf borderId="1" fillId="2" fontId="3" numFmtId="166" xfId="0" applyAlignment="1" applyBorder="1" applyFont="1" applyNumberFormat="1">
      <alignment horizontal="center" readingOrder="0" vertical="bottom"/>
    </xf>
    <xf borderId="2" fillId="2" fontId="3" numFmtId="166" xfId="0" applyAlignment="1" applyBorder="1" applyFont="1" applyNumberFormat="1">
      <alignment horizontal="center" vertical="bottom"/>
    </xf>
    <xf borderId="1" fillId="2" fontId="3" numFmtId="165" xfId="0" applyAlignment="1" applyBorder="1" applyFont="1" applyNumberFormat="1">
      <alignment readingOrder="0" vertical="bottom"/>
    </xf>
    <xf borderId="1" fillId="13" fontId="5" numFmtId="0" xfId="0" applyAlignment="1" applyBorder="1" applyFill="1" applyFont="1">
      <alignment horizontal="center" readingOrder="0" vertical="bottom"/>
    </xf>
    <xf borderId="1" fillId="13" fontId="5" numFmtId="166" xfId="0" applyAlignment="1" applyBorder="1" applyFont="1" applyNumberFormat="1">
      <alignment horizontal="center" readingOrder="0" vertical="bottom"/>
    </xf>
    <xf borderId="2" fillId="13" fontId="5" numFmtId="166" xfId="0" applyAlignment="1" applyBorder="1" applyFont="1" applyNumberFormat="1">
      <alignment horizontal="center" vertical="bottom"/>
    </xf>
    <xf borderId="0" fillId="14" fontId="12" numFmtId="0" xfId="0" applyAlignment="1" applyFill="1" applyFont="1">
      <alignment readingOrder="0"/>
    </xf>
    <xf borderId="1" fillId="14" fontId="5" numFmtId="0" xfId="0" applyAlignment="1" applyBorder="1" applyFont="1">
      <alignment horizontal="center" readingOrder="0" vertical="bottom"/>
    </xf>
    <xf borderId="1" fillId="14" fontId="5" numFmtId="166" xfId="0" applyAlignment="1" applyBorder="1" applyFont="1" applyNumberFormat="1">
      <alignment horizontal="center" readingOrder="0" vertical="bottom"/>
    </xf>
    <xf borderId="2" fillId="14" fontId="5" numFmtId="166" xfId="0" applyAlignment="1" applyBorder="1" applyFont="1" applyNumberFormat="1">
      <alignment horizontal="center" vertical="bottom"/>
    </xf>
    <xf borderId="1" fillId="5" fontId="13" numFmtId="165" xfId="0" applyAlignment="1" applyBorder="1" applyFont="1" applyNumberFormat="1">
      <alignment readingOrder="0" vertical="bottom"/>
    </xf>
    <xf borderId="2" fillId="5" fontId="3" numFmtId="166" xfId="0" applyAlignment="1" applyBorder="1" applyFont="1" applyNumberFormat="1">
      <alignment horizontal="center" readingOrder="0" vertical="bottom"/>
    </xf>
    <xf borderId="1" fillId="15" fontId="3" numFmtId="0" xfId="0" applyAlignment="1" applyBorder="1" applyFill="1" applyFont="1">
      <alignment horizontal="center" readingOrder="0" vertical="bottom"/>
    </xf>
    <xf borderId="1" fillId="15" fontId="3" numFmtId="166" xfId="0" applyAlignment="1" applyBorder="1" applyFont="1" applyNumberFormat="1">
      <alignment horizontal="center" readingOrder="0" vertical="bottom"/>
    </xf>
    <xf borderId="1" fillId="14" fontId="3" numFmtId="0" xfId="0" applyAlignment="1" applyBorder="1" applyFont="1">
      <alignment horizontal="center" readingOrder="0" vertical="bottom"/>
    </xf>
    <xf borderId="1" fillId="14" fontId="3" numFmtId="166" xfId="0" applyAlignment="1" applyBorder="1" applyFont="1" applyNumberFormat="1">
      <alignment horizontal="center" readingOrder="0" vertical="bottom"/>
    </xf>
    <xf borderId="2" fillId="14" fontId="3" numFmtId="166" xfId="0" applyAlignment="1" applyBorder="1" applyFont="1" applyNumberFormat="1">
      <alignment horizontal="center" vertical="bottom"/>
    </xf>
    <xf borderId="1" fillId="5" fontId="3" numFmtId="165" xfId="0" applyAlignment="1" applyBorder="1" applyFont="1" applyNumberFormat="1">
      <alignment vertical="bottom"/>
    </xf>
    <xf borderId="6" fillId="5" fontId="3" numFmtId="0" xfId="0" applyAlignment="1" applyBorder="1" applyFont="1">
      <alignment horizontal="center" vertical="bottom"/>
    </xf>
    <xf borderId="1" fillId="5" fontId="3" numFmtId="0" xfId="0" applyAlignment="1" applyBorder="1" applyFont="1">
      <alignment vertical="bottom"/>
    </xf>
    <xf borderId="1" fillId="5" fontId="3" numFmtId="166" xfId="0" applyAlignment="1" applyBorder="1" applyFont="1" applyNumberFormat="1">
      <alignment vertical="bottom"/>
    </xf>
    <xf borderId="6" fillId="0" fontId="14" numFmtId="0" xfId="0" applyBorder="1" applyFont="1"/>
    <xf borderId="1" fillId="0" fontId="14" numFmtId="0" xfId="0" applyBorder="1" applyFont="1"/>
    <xf borderId="1" fillId="16" fontId="3" numFmtId="0" xfId="0" applyAlignment="1" applyBorder="1" applyFill="1" applyFont="1">
      <alignment horizontal="center" readingOrder="0" vertical="bottom"/>
    </xf>
    <xf borderId="1" fillId="16" fontId="3" numFmtId="166" xfId="0" applyAlignment="1" applyBorder="1" applyFont="1" applyNumberFormat="1">
      <alignment readingOrder="0" vertical="bottom"/>
    </xf>
    <xf borderId="1" fillId="16" fontId="3" numFmtId="165" xfId="0" applyAlignment="1" applyBorder="1" applyFont="1" applyNumberFormat="1">
      <alignment vertical="bottom"/>
    </xf>
    <xf borderId="5" fillId="0" fontId="15" numFmtId="0" xfId="0" applyAlignment="1" applyBorder="1" applyFont="1">
      <alignment horizontal="center" vertical="bottom"/>
    </xf>
    <xf borderId="2" fillId="0" fontId="1" numFmtId="0" xfId="0" applyAlignment="1" applyBorder="1" applyFont="1">
      <alignment vertical="bottom"/>
    </xf>
    <xf borderId="2" fillId="0" fontId="1" numFmtId="166" xfId="0" applyAlignment="1" applyBorder="1" applyFont="1" applyNumberFormat="1">
      <alignment vertical="bottom"/>
    </xf>
    <xf borderId="2" fillId="0" fontId="15" numFmtId="166" xfId="0" applyAlignment="1" applyBorder="1" applyFont="1" applyNumberFormat="1">
      <alignment horizontal="center" vertical="bottom"/>
    </xf>
    <xf borderId="2" fillId="0" fontId="1" numFmtId="165" xfId="0" applyAlignment="1" applyBorder="1" applyFont="1" applyNumberFormat="1">
      <alignment vertical="bottom"/>
    </xf>
    <xf borderId="5" fillId="2" fontId="2" numFmtId="0" xfId="0" applyAlignment="1" applyBorder="1" applyFont="1">
      <alignment horizontal="center" vertical="bottom"/>
    </xf>
    <xf borderId="5" fillId="2" fontId="2" numFmtId="0" xfId="0" applyAlignment="1" applyBorder="1" applyFont="1">
      <alignment horizontal="center" readingOrder="0" vertical="bottom"/>
    </xf>
    <xf borderId="5" fillId="5" fontId="1" numFmtId="0" xfId="0" applyAlignment="1" applyBorder="1" applyFont="1">
      <alignment vertical="bottom"/>
    </xf>
    <xf borderId="5" fillId="5" fontId="3" numFmtId="0" xfId="0" applyAlignment="1" applyBorder="1" applyFont="1">
      <alignment horizontal="center" readingOrder="0" vertical="bottom"/>
    </xf>
    <xf borderId="5" fillId="5" fontId="5" numFmtId="0" xfId="0" applyAlignment="1" applyBorder="1" applyFont="1">
      <alignment horizontal="center" readingOrder="0" vertical="bottom"/>
    </xf>
    <xf borderId="5" fillId="5" fontId="5" numFmtId="0" xfId="0" applyAlignment="1" applyBorder="1" applyFont="1">
      <alignment horizontal="center" vertical="bottom"/>
    </xf>
    <xf borderId="5" fillId="5" fontId="3" numFmtId="0" xfId="0" applyAlignment="1" applyBorder="1" applyFont="1">
      <alignment horizontal="center" vertical="bottom"/>
    </xf>
    <xf borderId="5" fillId="9" fontId="3" numFmtId="0" xfId="0" applyAlignment="1" applyBorder="1" applyFont="1">
      <alignment horizontal="center" readingOrder="0" vertical="bottom"/>
    </xf>
    <xf borderId="5" fillId="9" fontId="5" numFmtId="0" xfId="0" applyAlignment="1" applyBorder="1" applyFont="1">
      <alignment horizontal="center" readingOrder="0" vertical="bottom"/>
    </xf>
    <xf borderId="5" fillId="9" fontId="5" numFmtId="0" xfId="0" applyAlignment="1" applyBorder="1" applyFont="1">
      <alignment horizontal="center" vertical="bottom"/>
    </xf>
    <xf borderId="5" fillId="10" fontId="1" numFmtId="0" xfId="0" applyAlignment="1" applyBorder="1" applyFont="1">
      <alignment vertical="bottom"/>
    </xf>
    <xf borderId="5" fillId="8" fontId="3" numFmtId="0" xfId="0" applyAlignment="1" applyBorder="1" applyFont="1">
      <alignment horizontal="center" readingOrder="0" vertical="bottom"/>
    </xf>
    <xf borderId="5" fillId="8" fontId="5" numFmtId="0" xfId="0" applyAlignment="1" applyBorder="1" applyFont="1">
      <alignment horizontal="center" readingOrder="0" vertical="bottom"/>
    </xf>
    <xf borderId="5" fillId="8" fontId="3" numFmtId="0" xfId="0" applyAlignment="1" applyBorder="1" applyFont="1">
      <alignment horizontal="center" vertical="bottom"/>
    </xf>
    <xf borderId="5" fillId="8" fontId="5" numFmtId="0" xfId="0" applyAlignment="1" applyBorder="1" applyFont="1">
      <alignment horizontal="center" vertical="bottom"/>
    </xf>
    <xf borderId="5" fillId="8" fontId="1" numFmtId="0" xfId="0" applyAlignment="1" applyBorder="1" applyFont="1">
      <alignment vertical="bottom"/>
    </xf>
    <xf borderId="5" fillId="9" fontId="3" numFmtId="0" xfId="0" applyAlignment="1" applyBorder="1" applyFont="1">
      <alignment horizontal="center" vertical="bottom"/>
    </xf>
    <xf borderId="5" fillId="5" fontId="16" numFmtId="0" xfId="0" applyAlignment="1" applyBorder="1" applyFont="1">
      <alignment horizontal="center" readingOrder="0" vertical="bottom"/>
    </xf>
    <xf borderId="5" fillId="10" fontId="3" numFmtId="0" xfId="0" applyAlignment="1" applyBorder="1" applyFont="1">
      <alignment horizontal="center" vertical="bottom"/>
    </xf>
    <xf borderId="5" fillId="5" fontId="17" numFmtId="0" xfId="0" applyAlignment="1" applyBorder="1" applyFont="1">
      <alignment horizontal="center" readingOrder="0" vertical="bottom"/>
    </xf>
    <xf borderId="3" fillId="11" fontId="3" numFmtId="0" xfId="0" applyAlignment="1" applyBorder="1" applyFont="1">
      <alignment horizontal="center" readingOrder="0" vertical="bottom"/>
    </xf>
    <xf borderId="1" fillId="11" fontId="3" numFmtId="165" xfId="0" applyAlignment="1" applyBorder="1" applyFont="1" applyNumberFormat="1">
      <alignment horizontal="center" readingOrder="0" vertical="bottom"/>
    </xf>
    <xf borderId="5" fillId="11" fontId="3" numFmtId="0" xfId="0" applyAlignment="1" applyBorder="1" applyFont="1">
      <alignment horizontal="center" readingOrder="0" vertical="bottom"/>
    </xf>
    <xf borderId="5" fillId="11" fontId="5" numFmtId="0" xfId="0" applyAlignment="1" applyBorder="1" applyFont="1">
      <alignment horizontal="center" readingOrder="0" vertical="bottom"/>
    </xf>
    <xf borderId="5" fillId="11" fontId="3" numFmtId="0" xfId="0" applyAlignment="1" applyBorder="1" applyFont="1">
      <alignment horizontal="center" vertical="bottom"/>
    </xf>
    <xf borderId="3" fillId="5" fontId="3" numFmtId="0" xfId="0" applyAlignment="1" applyBorder="1" applyFont="1">
      <alignment horizontal="center" readingOrder="0" vertical="bottom"/>
    </xf>
    <xf borderId="1" fillId="5" fontId="3" numFmtId="0" xfId="0" applyAlignment="1" applyBorder="1" applyFont="1">
      <alignment horizontal="center" readingOrder="0" vertical="bottom"/>
    </xf>
    <xf borderId="1" fillId="5" fontId="5" numFmtId="0" xfId="0" applyAlignment="1" applyBorder="1" applyFont="1">
      <alignment horizontal="center" readingOrder="0" vertical="bottom"/>
    </xf>
    <xf borderId="1" fillId="10" fontId="3" numFmtId="0" xfId="0" applyAlignment="1" applyBorder="1" applyFont="1">
      <alignment horizontal="center" vertical="bottom"/>
    </xf>
    <xf borderId="1" fillId="5" fontId="3" numFmtId="0" xfId="0" applyAlignment="1" applyBorder="1" applyFont="1">
      <alignment horizontal="center" vertical="bottom"/>
    </xf>
    <xf borderId="3" fillId="5" fontId="16" numFmtId="0" xfId="0" applyAlignment="1" applyBorder="1" applyFont="1">
      <alignment horizontal="center" readingOrder="0" vertical="bottom"/>
    </xf>
    <xf borderId="1" fillId="5" fontId="16" numFmtId="0" xfId="0" applyAlignment="1" applyBorder="1" applyFont="1">
      <alignment horizontal="center" readingOrder="0" vertical="bottom"/>
    </xf>
    <xf borderId="1" fillId="5" fontId="16" numFmtId="0" xfId="0" applyAlignment="1" applyBorder="1" applyFont="1">
      <alignment horizontal="center" vertical="bottom"/>
    </xf>
    <xf borderId="1" fillId="5" fontId="17" numFmtId="0" xfId="0" applyAlignment="1" applyBorder="1" applyFont="1">
      <alignment horizontal="center" vertical="bottom"/>
    </xf>
    <xf borderId="1" fillId="10" fontId="16" numFmtId="0" xfId="0" applyAlignment="1" applyBorder="1" applyFont="1">
      <alignment horizontal="center" vertical="bottom"/>
    </xf>
    <xf borderId="1" fillId="5" fontId="1" numFmtId="0" xfId="0" applyAlignment="1" applyBorder="1" applyFont="1">
      <alignment vertical="bottom"/>
    </xf>
    <xf borderId="3" fillId="9" fontId="18" numFmtId="0" xfId="0" applyAlignment="1" applyBorder="1" applyFont="1">
      <alignment horizontal="center" readingOrder="0" vertical="bottom"/>
    </xf>
    <xf borderId="1" fillId="9" fontId="16" numFmtId="0" xfId="0" applyAlignment="1" applyBorder="1" applyFont="1">
      <alignment horizontal="center" readingOrder="0" vertical="bottom"/>
    </xf>
    <xf borderId="1" fillId="9" fontId="3" numFmtId="0" xfId="0" applyAlignment="1" applyBorder="1" applyFont="1">
      <alignment horizontal="center" readingOrder="0" vertical="bottom"/>
    </xf>
    <xf borderId="1" fillId="9" fontId="17" numFmtId="0" xfId="0" applyAlignment="1" applyBorder="1" applyFont="1">
      <alignment horizontal="center" readingOrder="0" vertical="bottom"/>
    </xf>
    <xf borderId="1" fillId="10" fontId="16" numFmtId="0" xfId="0" applyAlignment="1" applyBorder="1" applyFont="1">
      <alignment horizontal="center" readingOrder="0" vertical="bottom"/>
    </xf>
    <xf borderId="1" fillId="13" fontId="5" numFmtId="0" xfId="0" applyAlignment="1" applyBorder="1" applyFont="1">
      <alignment readingOrder="0" vertical="bottom"/>
    </xf>
    <xf borderId="3" fillId="5" fontId="3" numFmtId="0" xfId="0" applyAlignment="1" applyBorder="1" applyFont="1">
      <alignment horizontal="center" vertical="bottom"/>
    </xf>
    <xf borderId="1" fillId="5" fontId="4" numFmtId="0" xfId="0" applyAlignment="1" applyBorder="1" applyFont="1">
      <alignment horizontal="center" readingOrder="0" vertical="bottom"/>
    </xf>
    <xf borderId="1" fillId="5" fontId="5" numFmtId="0" xfId="0" applyAlignment="1" applyBorder="1" applyFont="1">
      <alignment horizontal="center" vertical="bottom"/>
    </xf>
    <xf borderId="1" fillId="10" fontId="1" numFmtId="0" xfId="0" applyAlignment="1" applyBorder="1" applyFont="1">
      <alignment vertical="bottom"/>
    </xf>
    <xf borderId="3" fillId="5" fontId="9" numFmtId="0" xfId="0" applyAlignment="1" applyBorder="1" applyFont="1">
      <alignment horizontal="center" vertical="bottom"/>
    </xf>
    <xf borderId="1" fillId="5" fontId="9" numFmtId="0" xfId="0" applyAlignment="1" applyBorder="1" applyFont="1">
      <alignment horizontal="right" vertical="bottom"/>
    </xf>
    <xf borderId="1" fillId="5" fontId="4" numFmtId="0" xfId="0" applyAlignment="1" applyBorder="1" applyFont="1">
      <alignment horizontal="center" vertical="bottom"/>
    </xf>
    <xf borderId="1" fillId="5" fontId="4" numFmtId="0" xfId="0" applyAlignment="1" applyBorder="1" applyFont="1">
      <alignment horizontal="right" vertical="bottom"/>
    </xf>
    <xf borderId="5" fillId="5" fontId="18" numFmtId="166" xfId="0" applyAlignment="1" applyBorder="1" applyFont="1" applyNumberFormat="1">
      <alignment horizontal="center" readingOrder="0" vertical="bottom"/>
    </xf>
    <xf borderId="1" fillId="5" fontId="18" numFmtId="166" xfId="0" applyAlignment="1" applyBorder="1" applyFont="1" applyNumberFormat="1">
      <alignment horizontal="center" vertical="bottom"/>
    </xf>
    <xf borderId="1" fillId="5" fontId="18" numFmtId="166" xfId="0" applyAlignment="1" applyBorder="1" applyFont="1" applyNumberFormat="1">
      <alignment horizontal="center" readingOrder="0" vertical="bottom"/>
    </xf>
    <xf borderId="1" fillId="5" fontId="9" numFmtId="166" xfId="0" applyAlignment="1" applyBorder="1" applyFont="1" applyNumberFormat="1">
      <alignment horizontal="center" vertical="bottom"/>
    </xf>
    <xf borderId="1" fillId="5" fontId="9" numFmtId="166" xfId="0" applyAlignment="1" applyBorder="1" applyFont="1" applyNumberFormat="1">
      <alignment horizontal="center" readingOrder="0" vertical="bottom"/>
    </xf>
    <xf borderId="1" fillId="5" fontId="3" numFmtId="166" xfId="0" applyAlignment="1" applyBorder="1" applyFont="1" applyNumberFormat="1">
      <alignment horizontal="center" readingOrder="0" vertical="bottom"/>
    </xf>
    <xf borderId="1" fillId="5" fontId="4" numFmtId="166" xfId="0" applyAlignment="1" applyBorder="1" applyFont="1" applyNumberFormat="1">
      <alignment horizontal="right" readingOrder="0" vertical="bottom"/>
    </xf>
    <xf borderId="1" fillId="5" fontId="4" numFmtId="166" xfId="0" applyAlignment="1" applyBorder="1" applyFont="1" applyNumberFormat="1">
      <alignment horizontal="right" vertical="bottom"/>
    </xf>
    <xf borderId="1" fillId="5" fontId="5" numFmtId="166" xfId="0" applyAlignment="1" applyBorder="1" applyFont="1" applyNumberFormat="1">
      <alignment horizontal="center" readingOrder="0" vertical="bottom"/>
    </xf>
    <xf borderId="0" fillId="5" fontId="1" numFmtId="0" xfId="0" applyAlignment="1" applyFont="1">
      <alignment vertical="bottom"/>
    </xf>
    <xf borderId="5" fillId="5" fontId="19" numFmtId="166" xfId="0" applyAlignment="1" applyBorder="1" applyFont="1" applyNumberFormat="1">
      <alignment horizontal="center" vertical="bottom"/>
    </xf>
    <xf borderId="1" fillId="5" fontId="19" numFmtId="166" xfId="0" applyAlignment="1" applyBorder="1" applyFont="1" applyNumberFormat="1">
      <alignment horizontal="center" vertical="bottom"/>
    </xf>
    <xf borderId="1" fillId="5" fontId="9" numFmtId="166" xfId="0" applyAlignment="1" applyBorder="1" applyFont="1" applyNumberFormat="1">
      <alignment horizontal="right" vertical="bottom"/>
    </xf>
    <xf borderId="1" fillId="5" fontId="3" numFmtId="166" xfId="0" applyAlignment="1" applyBorder="1" applyFont="1" applyNumberFormat="1">
      <alignment horizontal="center" vertical="bottom"/>
    </xf>
    <xf borderId="1" fillId="5" fontId="20" numFmtId="166" xfId="0" applyAlignment="1" applyBorder="1" applyFont="1" applyNumberFormat="1">
      <alignment horizontal="right" vertical="bottom"/>
    </xf>
    <xf borderId="1" fillId="5" fontId="21" numFmtId="166" xfId="0" applyAlignment="1" applyBorder="1" applyFont="1" applyNumberFormat="1">
      <alignment horizontal="center" vertical="bottom"/>
    </xf>
    <xf borderId="0" fillId="5" fontId="1" numFmtId="166" xfId="0" applyAlignment="1" applyFont="1" applyNumberFormat="1">
      <alignment vertical="bottom"/>
    </xf>
    <xf borderId="4" fillId="5" fontId="1" numFmtId="166" xfId="0" applyAlignment="1" applyBorder="1" applyFont="1" applyNumberFormat="1">
      <alignment vertical="bottom"/>
    </xf>
    <xf borderId="1" fillId="5" fontId="1" numFmtId="166" xfId="0" applyAlignment="1" applyBorder="1" applyFont="1" applyNumberFormat="1">
      <alignment vertical="bottom"/>
    </xf>
    <xf borderId="0" fillId="5" fontId="5" numFmtId="0" xfId="0" applyAlignment="1" applyFont="1">
      <alignment horizontal="center" vertical="bottom"/>
    </xf>
    <xf borderId="0" fillId="17" fontId="1" numFmtId="0" xfId="0" applyAlignment="1" applyFill="1" applyFont="1">
      <alignment vertical="bottom"/>
    </xf>
    <xf borderId="5" fillId="17" fontId="3" numFmtId="0" xfId="0" applyAlignment="1" applyBorder="1" applyFont="1">
      <alignment vertical="bottom"/>
    </xf>
    <xf borderId="1" fillId="4" fontId="2" numFmtId="0" xfId="0" applyAlignment="1" applyBorder="1" applyFont="1">
      <alignment horizontal="center" vertical="bottom"/>
    </xf>
    <xf borderId="4" fillId="6" fontId="2" numFmtId="0" xfId="0" applyAlignment="1" applyBorder="1" applyFont="1">
      <alignment horizontal="center" vertical="bottom"/>
    </xf>
    <xf borderId="0" fillId="6" fontId="2" numFmtId="0" xfId="0" applyAlignment="1" applyFont="1">
      <alignment horizontal="center" vertical="bottom"/>
    </xf>
    <xf borderId="5" fillId="5" fontId="3" numFmtId="0" xfId="0" applyAlignment="1" applyBorder="1" applyFont="1">
      <alignment vertical="bottom"/>
    </xf>
    <xf borderId="1" fillId="5" fontId="2" numFmtId="166" xfId="0" applyAlignment="1" applyBorder="1" applyFont="1" applyNumberFormat="1">
      <alignment horizontal="center" readingOrder="0" vertical="bottom"/>
    </xf>
    <xf borderId="0" fillId="5" fontId="3" numFmtId="0" xfId="0" applyAlignment="1" applyFont="1">
      <alignment horizontal="center" vertical="bottom"/>
    </xf>
    <xf borderId="1" fillId="17" fontId="3" numFmtId="0" xfId="0" applyAlignment="1" applyBorder="1" applyFont="1">
      <alignment horizontal="center" vertical="bottom"/>
    </xf>
    <xf borderId="0" fillId="5" fontId="3" numFmtId="0" xfId="0" applyAlignment="1" applyFont="1">
      <alignment horizontal="center" readingOrder="0" vertical="bottom"/>
    </xf>
    <xf borderId="5" fillId="17" fontId="3" numFmtId="0" xfId="0" applyAlignment="1" applyBorder="1" applyFont="1">
      <alignment horizontal="center" vertical="bottom"/>
    </xf>
    <xf borderId="0" fillId="5" fontId="3" numFmtId="0" xfId="0" applyAlignment="1" applyFont="1">
      <alignment horizontal="center" readingOrder="0" vertical="bottom"/>
    </xf>
    <xf borderId="1" fillId="17" fontId="3" numFmtId="0" xfId="0" applyAlignment="1" applyBorder="1" applyFont="1">
      <alignment horizontal="center" readingOrder="0" vertical="bottom"/>
    </xf>
    <xf borderId="1" fillId="5" fontId="3" numFmtId="166" xfId="0" applyAlignment="1" applyBorder="1" applyFont="1" applyNumberFormat="1">
      <alignment horizontal="right" readingOrder="0" vertical="bottom"/>
    </xf>
    <xf borderId="0" fillId="5" fontId="1" numFmtId="0" xfId="0" applyAlignment="1" applyFont="1">
      <alignment readingOrder="0" vertical="bottom"/>
    </xf>
    <xf borderId="1" fillId="5" fontId="3" numFmtId="166" xfId="0" applyAlignment="1" applyBorder="1" applyFont="1" applyNumberFormat="1">
      <alignment horizontal="right" vertical="bottom"/>
    </xf>
    <xf borderId="1" fillId="7" fontId="3" numFmtId="0" xfId="0" applyAlignment="1" applyBorder="1" applyFont="1">
      <alignment horizontal="center" vertical="bottom"/>
    </xf>
    <xf borderId="1" fillId="17" fontId="3" numFmtId="166" xfId="0" applyAlignment="1" applyBorder="1" applyFont="1" applyNumberFormat="1">
      <alignment horizontal="center" vertical="bottom"/>
    </xf>
    <xf borderId="1" fillId="3" fontId="3" numFmtId="166" xfId="0" applyAlignment="1" applyBorder="1" applyFont="1" applyNumberFormat="1">
      <alignment horizontal="center" vertical="bottom"/>
    </xf>
    <xf borderId="1" fillId="7" fontId="2" numFmtId="166" xfId="0" applyAlignment="1" applyBorder="1" applyFont="1" applyNumberFormat="1">
      <alignment horizontal="center" vertical="bottom"/>
    </xf>
    <xf borderId="0" fillId="7" fontId="2" numFmtId="0" xfId="0" applyAlignment="1" applyFont="1">
      <alignment horizontal="center" vertical="bottom"/>
    </xf>
    <xf borderId="1" fillId="4" fontId="3" numFmtId="166" xfId="0" applyAlignment="1" applyBorder="1" applyFont="1" applyNumberFormat="1">
      <alignment vertical="bottom"/>
    </xf>
    <xf borderId="1" fillId="5" fontId="3" numFmtId="0" xfId="0" applyAlignment="1" applyBorder="1" applyFont="1">
      <alignment vertical="bottom"/>
    </xf>
    <xf borderId="1" fillId="5" fontId="3" numFmtId="0" xfId="0" applyAlignment="1" applyBorder="1" applyFont="1">
      <alignment readingOrder="0" vertical="bottom"/>
    </xf>
    <xf borderId="1" fillId="7" fontId="3" numFmtId="166" xfId="0" applyAlignment="1" applyBorder="1" applyFont="1" applyNumberFormat="1">
      <alignment horizontal="center" vertical="bottom"/>
    </xf>
    <xf borderId="0" fillId="7" fontId="3" numFmtId="0" xfId="0" applyAlignment="1" applyFont="1">
      <alignment horizontal="center" vertical="bottom"/>
    </xf>
    <xf borderId="0" fillId="17" fontId="1" numFmtId="166" xfId="0" applyAlignment="1" applyFont="1" applyNumberFormat="1">
      <alignment vertical="bottom"/>
    </xf>
    <xf borderId="0" fillId="17" fontId="3" numFmtId="166" xfId="0" applyAlignment="1" applyFont="1" applyNumberFormat="1">
      <alignment vertical="bottom"/>
    </xf>
    <xf borderId="0" fillId="17" fontId="3" numFmtId="0" xfId="0" applyAlignment="1" applyFont="1">
      <alignment vertical="bottom"/>
    </xf>
    <xf borderId="0" fillId="5" fontId="3" numFmtId="166" xfId="0" applyAlignment="1" applyFont="1" applyNumberFormat="1">
      <alignment vertical="bottom"/>
    </xf>
    <xf borderId="0" fillId="5" fontId="3" numFmtId="0" xfId="0" applyAlignment="1" applyFont="1">
      <alignment vertical="bottom"/>
    </xf>
    <xf borderId="0" fillId="5" fontId="3" numFmtId="0" xfId="0" applyAlignment="1" applyFont="1">
      <alignment vertical="bottom"/>
    </xf>
    <xf borderId="0" fillId="0" fontId="22" numFmtId="0" xfId="0" applyFont="1"/>
    <xf borderId="4" fillId="0" fontId="1" numFmtId="0" xfId="0" applyAlignment="1" applyBorder="1" applyFont="1">
      <alignment vertical="bottom"/>
    </xf>
    <xf borderId="1" fillId="11" fontId="2" numFmtId="0" xfId="0" applyAlignment="1" applyBorder="1" applyFont="1">
      <alignment horizontal="center" vertical="bottom"/>
    </xf>
    <xf borderId="1" fillId="11" fontId="2" numFmtId="0" xfId="0" applyAlignment="1" applyBorder="1" applyFont="1">
      <alignment horizontal="center" readingOrder="0" vertical="bottom"/>
    </xf>
    <xf borderId="1" fillId="18" fontId="2" numFmtId="0" xfId="0" applyAlignment="1" applyBorder="1" applyFill="1" applyFont="1">
      <alignment horizontal="center" vertical="bottom"/>
    </xf>
    <xf borderId="1" fillId="0" fontId="3" numFmtId="166" xfId="0" applyAlignment="1" applyBorder="1" applyFont="1" applyNumberFormat="1">
      <alignment horizontal="center" readingOrder="0" vertical="bottom"/>
    </xf>
    <xf borderId="0" fillId="0" fontId="3" numFmtId="166" xfId="0" applyAlignment="1" applyFont="1" applyNumberFormat="1">
      <alignment vertical="bottom"/>
    </xf>
    <xf borderId="0" fillId="5" fontId="23" numFmtId="166" xfId="0" applyAlignment="1" applyFont="1" applyNumberFormat="1">
      <alignment readingOrder="0" vertical="bottom"/>
    </xf>
    <xf borderId="0" fillId="5" fontId="23" numFmtId="166" xfId="0" applyAlignment="1" applyFont="1" applyNumberFormat="1">
      <alignment vertical="bottom"/>
    </xf>
    <xf borderId="0" fillId="5" fontId="23" numFmtId="166" xfId="0" applyAlignment="1" applyFont="1" applyNumberFormat="1">
      <alignment horizontal="center" vertical="bottom"/>
    </xf>
    <xf borderId="0" fillId="0" fontId="22" numFmtId="166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</dxfs>
  <tableStyles count="5">
    <tableStyle count="2" pivot="0" name="Les Charges-style">
      <tableStyleElement dxfId="1" type="firstRowStripe"/>
      <tableStyleElement dxfId="2" type="secondRowStripe"/>
    </tableStyle>
    <tableStyle count="2" pivot="0" name="Pointage-style">
      <tableStyleElement dxfId="1" type="firstRowStripe"/>
      <tableStyleElement dxfId="2" type="secondRowStripe"/>
    </tableStyle>
    <tableStyle count="2" pivot="0" name="Pointage-style 2">
      <tableStyleElement dxfId="1" type="firstRowStripe"/>
      <tableStyleElement dxfId="2" type="secondRowStripe"/>
    </tableStyle>
    <tableStyle count="2" pivot="0" name="Les Salaires-style">
      <tableStyleElement dxfId="2" type="firstRowStripe"/>
      <tableStyleElement dxfId="1" type="secondRowStripe"/>
    </tableStyle>
    <tableStyle count="2" pivot="0" name="Feuille 6-style"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headerRowCount="0" ref="E8:I8" displayName="Table_1" name="Table_1" id="1">
  <tableColumns count="5">
    <tableColumn name="Column1" id="1"/>
    <tableColumn name="Column2" id="2"/>
    <tableColumn name="Column3" id="3"/>
    <tableColumn name="Column4" id="4"/>
    <tableColumn name="Column5" id="5"/>
  </tableColumns>
  <tableStyleInfo name="Les Charges-style" showColumnStripes="0" showFirstColumn="1" showLastColumn="1" showRowStripes="1"/>
</table>
</file>

<file path=xl/tables/table2.xml><?xml version="1.0" encoding="utf-8"?>
<table xmlns="http://schemas.openxmlformats.org/spreadsheetml/2006/main" headerRowCount="0" ref="C2:U37" displayName="Table_2" name="Table_2" id="2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Pointage-style" showColumnStripes="0" showFirstColumn="1" showLastColumn="1" showRowStripes="1"/>
</table>
</file>

<file path=xl/tables/table3.xml><?xml version="1.0" encoding="utf-8"?>
<table xmlns="http://schemas.openxmlformats.org/spreadsheetml/2006/main" headerRowCount="0" ref="C52:C86" displayName="Table_3" name="Table_3" id="3">
  <tableColumns count="1">
    <tableColumn name="Column1" id="1"/>
  </tableColumns>
  <tableStyleInfo name="Pointage-style 2" showColumnStripes="0" showFirstColumn="1" showLastColumn="1" showRowStripes="1"/>
</table>
</file>

<file path=xl/tables/table4.xml><?xml version="1.0" encoding="utf-8"?>
<table xmlns="http://schemas.openxmlformats.org/spreadsheetml/2006/main" headerRowCount="0" ref="H5:O28" displayName="Table_4" name="Table_4" id="4">
  <tableColumns count="8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</tableColumns>
  <tableStyleInfo name="Les Salaires-style" showColumnStripes="0" showFirstColumn="1" showLastColumn="1" showRowStripes="1"/>
</table>
</file>

<file path=xl/tables/table5.xml><?xml version="1.0" encoding="utf-8"?>
<table xmlns="http://schemas.openxmlformats.org/spreadsheetml/2006/main" headerRowCount="0" ref="C8:U43" displayName="Table_5" name="Table_5" id="5">
  <tableColumns count="19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  <tableColumn name="Column8" id="8"/>
    <tableColumn name="Column9" id="9"/>
    <tableColumn name="Column10" id="10"/>
    <tableColumn name="Column11" id="11"/>
    <tableColumn name="Column12" id="12"/>
    <tableColumn name="Column13" id="13"/>
    <tableColumn name="Column14" id="14"/>
    <tableColumn name="Column15" id="15"/>
    <tableColumn name="Column16" id="16"/>
    <tableColumn name="Column17" id="17"/>
    <tableColumn name="Column18" id="18"/>
    <tableColumn name="Column19" id="19"/>
  </tableColumns>
  <tableStyleInfo name="Feuille 6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4" Type="http://schemas.openxmlformats.org/officeDocument/2006/relationships/table" Target="../tables/table2.xml"/><Relationship Id="rId5" Type="http://schemas.openxmlformats.org/officeDocument/2006/relationships/table" Target="../tables/table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7.5"/>
    <col customWidth="1" min="2" max="2" width="23.38"/>
    <col customWidth="1" min="3" max="3" width="33.5"/>
    <col customWidth="1" min="4" max="4" width="21.5"/>
    <col customWidth="1" min="5" max="5" width="24.13"/>
    <col customWidth="1" min="6" max="7" width="23.0"/>
    <col customWidth="1" min="8" max="8" width="25.63"/>
    <col customWidth="1" min="9" max="9" width="22.63"/>
    <col customWidth="1" min="10" max="10" width="29.0"/>
    <col customWidth="1" min="12" max="12" width="30.13"/>
    <col customWidth="1" min="13" max="13" width="34.25"/>
    <col customWidth="1" min="14" max="14" width="36.5"/>
    <col customWidth="1" min="15" max="15" width="45.13"/>
    <col customWidth="1" min="16" max="16" width="54.13"/>
    <col customWidth="1" min="17" max="17" width="105.13"/>
  </cols>
  <sheetData>
    <row r="1">
      <c r="A1" s="1"/>
      <c r="B1" s="2" t="s">
        <v>0</v>
      </c>
      <c r="C1" s="3" t="s">
        <v>1</v>
      </c>
      <c r="D1" s="4" t="s">
        <v>2</v>
      </c>
      <c r="E1" s="4" t="s">
        <v>3</v>
      </c>
      <c r="F1" s="5" t="s">
        <v>4</v>
      </c>
      <c r="G1" s="4" t="s">
        <v>5</v>
      </c>
      <c r="H1" s="4" t="s">
        <v>6</v>
      </c>
      <c r="I1" s="4" t="s">
        <v>7</v>
      </c>
      <c r="J1" s="4" t="s">
        <v>8</v>
      </c>
      <c r="K1" s="6"/>
      <c r="L1" s="7" t="s">
        <v>9</v>
      </c>
      <c r="M1" s="8" t="s">
        <v>10</v>
      </c>
      <c r="N1" s="6"/>
      <c r="O1" s="6"/>
      <c r="P1" s="6"/>
      <c r="Q1" s="6"/>
      <c r="R1" s="6"/>
      <c r="S1" s="6"/>
      <c r="T1" s="6"/>
    </row>
    <row r="2">
      <c r="A2" s="9" t="s">
        <v>11</v>
      </c>
      <c r="B2" s="10">
        <v>45717.0</v>
      </c>
      <c r="C2" s="11">
        <v>53000.0</v>
      </c>
      <c r="D2" s="11">
        <v>78000.0</v>
      </c>
      <c r="E2" s="12"/>
      <c r="F2" s="13" t="str">
        <f>Pointage!AF2</f>
        <v/>
      </c>
      <c r="G2" s="14">
        <v>2000.0</v>
      </c>
      <c r="H2" s="12"/>
      <c r="I2" s="12"/>
      <c r="J2" s="15">
        <v>1.0</v>
      </c>
      <c r="K2" s="16"/>
      <c r="L2" s="17"/>
      <c r="M2" s="14">
        <v>53000.0</v>
      </c>
      <c r="N2" s="6"/>
      <c r="O2" s="6"/>
      <c r="P2" s="6"/>
      <c r="Q2" s="6"/>
      <c r="R2" s="6"/>
      <c r="S2" s="6"/>
      <c r="T2" s="6"/>
    </row>
    <row r="3">
      <c r="A3" s="9" t="s">
        <v>12</v>
      </c>
      <c r="B3" s="10">
        <v>45718.0</v>
      </c>
      <c r="C3" s="11">
        <v>60000.0</v>
      </c>
      <c r="D3" s="11">
        <v>48000.0</v>
      </c>
      <c r="E3" s="12"/>
      <c r="F3" s="13" t="str">
        <f>Pointage!AF3</f>
        <v/>
      </c>
      <c r="G3" s="14">
        <v>2000.0</v>
      </c>
      <c r="H3" s="12"/>
      <c r="I3" s="12"/>
      <c r="J3" s="15">
        <v>1.0</v>
      </c>
      <c r="K3" s="16"/>
      <c r="L3" s="17"/>
      <c r="M3" s="14">
        <v>60000.0</v>
      </c>
      <c r="N3" s="18" t="s">
        <v>13</v>
      </c>
      <c r="O3" s="18" t="s">
        <v>14</v>
      </c>
      <c r="P3" s="19" t="s">
        <v>15</v>
      </c>
      <c r="Q3" s="20" t="s">
        <v>16</v>
      </c>
      <c r="R3" s="6"/>
      <c r="S3" s="6"/>
      <c r="T3" s="6"/>
    </row>
    <row r="4">
      <c r="A4" s="9" t="s">
        <v>17</v>
      </c>
      <c r="B4" s="10">
        <v>45719.0</v>
      </c>
      <c r="C4" s="11">
        <v>46000.0</v>
      </c>
      <c r="D4" s="11">
        <v>53000.0</v>
      </c>
      <c r="E4" s="12"/>
      <c r="F4" s="13" t="str">
        <f>Pointage!AF4</f>
        <v/>
      </c>
      <c r="G4" s="14">
        <v>2000.0</v>
      </c>
      <c r="H4" s="12"/>
      <c r="I4" s="12"/>
      <c r="J4" s="15">
        <v>1.0</v>
      </c>
      <c r="K4" s="16"/>
      <c r="L4" s="17"/>
      <c r="M4" s="14">
        <v>46000.0</v>
      </c>
      <c r="N4" s="21">
        <f>I33/J33</f>
        <v>15109.71883</v>
      </c>
      <c r="O4" s="21">
        <f>D33/J33</f>
        <v>69800</v>
      </c>
      <c r="P4" s="22"/>
      <c r="Q4" s="23">
        <f>P4/O4</f>
        <v>0</v>
      </c>
      <c r="R4" s="6"/>
      <c r="S4" s="6"/>
      <c r="T4" s="6"/>
    </row>
    <row r="5">
      <c r="A5" s="9" t="s">
        <v>18</v>
      </c>
      <c r="B5" s="10">
        <v>45720.0</v>
      </c>
      <c r="C5" s="11">
        <v>28000.0</v>
      </c>
      <c r="D5" s="11">
        <v>40000.0</v>
      </c>
      <c r="E5" s="12"/>
      <c r="F5" s="13" t="str">
        <f>Pointage!AF5</f>
        <v/>
      </c>
      <c r="G5" s="11">
        <v>2000.0</v>
      </c>
      <c r="H5" s="12"/>
      <c r="I5" s="12"/>
      <c r="J5" s="24">
        <v>1.0</v>
      </c>
      <c r="K5" s="16"/>
      <c r="L5" s="17"/>
      <c r="M5" s="14">
        <v>28000.0</v>
      </c>
      <c r="N5" s="1"/>
      <c r="O5" s="1"/>
      <c r="P5" s="6"/>
      <c r="Q5" s="25"/>
      <c r="R5" s="6"/>
      <c r="S5" s="6"/>
      <c r="T5" s="6"/>
    </row>
    <row r="6">
      <c r="A6" s="9" t="s">
        <v>19</v>
      </c>
      <c r="B6" s="10">
        <v>45721.0</v>
      </c>
      <c r="C6" s="11">
        <v>91000.0</v>
      </c>
      <c r="D6" s="11">
        <v>43000.0</v>
      </c>
      <c r="E6" s="12"/>
      <c r="F6" s="13" t="str">
        <f>Pointage!AF6</f>
        <v/>
      </c>
      <c r="G6" s="11">
        <v>2000.0</v>
      </c>
      <c r="H6" s="12"/>
      <c r="I6" s="12"/>
      <c r="J6" s="24">
        <v>1.0</v>
      </c>
      <c r="K6" s="16"/>
      <c r="L6" s="17"/>
      <c r="M6" s="14">
        <v>91000.0</v>
      </c>
      <c r="N6" s="26" t="s">
        <v>20</v>
      </c>
      <c r="O6" s="27" t="s">
        <v>21</v>
      </c>
      <c r="P6" s="6"/>
      <c r="Q6" s="1"/>
      <c r="R6" s="6"/>
      <c r="S6" s="6"/>
      <c r="T6" s="6"/>
    </row>
    <row r="7">
      <c r="A7" s="9" t="s">
        <v>22</v>
      </c>
      <c r="B7" s="10">
        <v>45722.0</v>
      </c>
      <c r="C7" s="11">
        <v>120000.0</v>
      </c>
      <c r="D7" s="11">
        <v>45000.0</v>
      </c>
      <c r="E7" s="12"/>
      <c r="F7" s="13" t="str">
        <f>Pointage!AF7</f>
        <v/>
      </c>
      <c r="G7" s="11">
        <v>2000.0</v>
      </c>
      <c r="H7" s="12"/>
      <c r="I7" s="12"/>
      <c r="J7" s="24">
        <v>1.0</v>
      </c>
      <c r="K7" s="16"/>
      <c r="L7" s="17"/>
      <c r="M7" s="14">
        <v>120000.0</v>
      </c>
      <c r="N7" s="28">
        <f>E33/J33</f>
        <v>31900.01667</v>
      </c>
      <c r="O7" s="28">
        <v>100000.0</v>
      </c>
      <c r="P7" s="1"/>
      <c r="Q7" s="1"/>
      <c r="R7" s="6"/>
      <c r="S7" s="6"/>
      <c r="T7" s="6"/>
    </row>
    <row r="8">
      <c r="A8" s="29" t="s">
        <v>23</v>
      </c>
      <c r="B8" s="30">
        <v>45723.0</v>
      </c>
      <c r="C8" s="31">
        <v>69000.0</v>
      </c>
      <c r="D8" s="31">
        <v>63000.0</v>
      </c>
      <c r="E8" s="32"/>
      <c r="F8" s="33" t="str">
        <f>Pointage!AF8</f>
        <v/>
      </c>
      <c r="G8" s="31">
        <v>2000.0</v>
      </c>
      <c r="H8" s="32"/>
      <c r="I8" s="32"/>
      <c r="J8" s="34">
        <v>1.0</v>
      </c>
      <c r="K8" s="16"/>
      <c r="L8" s="17"/>
      <c r="M8" s="35">
        <v>69000.0</v>
      </c>
      <c r="N8" s="1" t="s">
        <v>24</v>
      </c>
      <c r="O8" s="1"/>
      <c r="P8" s="1"/>
      <c r="Q8" s="1"/>
      <c r="R8" s="6"/>
      <c r="S8" s="6" t="s">
        <v>25</v>
      </c>
      <c r="T8" s="6"/>
    </row>
    <row r="9">
      <c r="A9" s="9" t="s">
        <v>11</v>
      </c>
      <c r="B9" s="10">
        <v>45724.0</v>
      </c>
      <c r="C9" s="11">
        <v>58000.0</v>
      </c>
      <c r="D9" s="11">
        <v>54000.0</v>
      </c>
      <c r="E9" s="12"/>
      <c r="F9" s="13" t="str">
        <f>Pointage!AF9</f>
        <v/>
      </c>
      <c r="G9" s="11">
        <v>2000.0</v>
      </c>
      <c r="H9" s="12"/>
      <c r="I9" s="12"/>
      <c r="J9" s="24">
        <v>1.0</v>
      </c>
      <c r="K9" s="16"/>
      <c r="L9" s="17"/>
      <c r="M9" s="14">
        <v>58000.0</v>
      </c>
      <c r="N9" s="1"/>
      <c r="O9" s="1"/>
      <c r="P9" s="1"/>
      <c r="Q9" s="1"/>
      <c r="R9" s="6"/>
      <c r="S9" s="6"/>
      <c r="T9" s="6"/>
    </row>
    <row r="10">
      <c r="A10" s="9" t="s">
        <v>12</v>
      </c>
      <c r="B10" s="10">
        <v>45725.0</v>
      </c>
      <c r="C10" s="11">
        <v>21000.0</v>
      </c>
      <c r="D10" s="11">
        <v>52000.0</v>
      </c>
      <c r="E10" s="12"/>
      <c r="F10" s="13" t="str">
        <f>Pointage!AF10</f>
        <v/>
      </c>
      <c r="G10" s="11">
        <v>2000.0</v>
      </c>
      <c r="H10" s="12"/>
      <c r="I10" s="12"/>
      <c r="J10" s="24">
        <v>1.0</v>
      </c>
      <c r="K10" s="16"/>
      <c r="L10" s="17"/>
      <c r="M10" s="14">
        <v>21000.0</v>
      </c>
      <c r="N10" s="36" t="s">
        <v>26</v>
      </c>
      <c r="O10" s="36" t="s">
        <v>27</v>
      </c>
      <c r="P10" s="37" t="s">
        <v>28</v>
      </c>
      <c r="Q10" s="38" t="s">
        <v>29</v>
      </c>
      <c r="R10" s="6"/>
      <c r="S10" s="6"/>
      <c r="T10" s="6"/>
    </row>
    <row r="11">
      <c r="A11" s="9" t="s">
        <v>17</v>
      </c>
      <c r="B11" s="10">
        <v>45726.0</v>
      </c>
      <c r="C11" s="11">
        <v>46000.0</v>
      </c>
      <c r="D11" s="11">
        <v>45000.0</v>
      </c>
      <c r="E11" s="12"/>
      <c r="F11" s="13" t="str">
        <f>Pointage!AF11</f>
        <v/>
      </c>
      <c r="G11" s="11">
        <v>2000.0</v>
      </c>
      <c r="H11" s="12"/>
      <c r="I11" s="12"/>
      <c r="J11" s="24">
        <v>1.0</v>
      </c>
      <c r="K11" s="16"/>
      <c r="L11" s="17"/>
      <c r="M11" s="14">
        <v>46000.0</v>
      </c>
      <c r="N11" s="14">
        <f>N14+D33-E33-G33-'Les Salaires'!L24-O11</f>
        <v>271999.5</v>
      </c>
      <c r="O11" s="39">
        <v>718000.0</v>
      </c>
      <c r="P11" s="40">
        <v>340000.0</v>
      </c>
      <c r="Q11" s="28">
        <f>N11-P11</f>
        <v>-68000.5</v>
      </c>
      <c r="R11" s="6"/>
      <c r="S11" s="6"/>
      <c r="T11" s="6"/>
    </row>
    <row r="12">
      <c r="A12" s="9" t="s">
        <v>18</v>
      </c>
      <c r="B12" s="10">
        <v>45727.0</v>
      </c>
      <c r="C12" s="11">
        <v>54000.0</v>
      </c>
      <c r="D12" s="11">
        <v>57000.0</v>
      </c>
      <c r="E12" s="12"/>
      <c r="F12" s="13" t="str">
        <f>Pointage!AF12</f>
        <v/>
      </c>
      <c r="G12" s="11">
        <v>2000.0</v>
      </c>
      <c r="H12" s="12"/>
      <c r="I12" s="12"/>
      <c r="J12" s="24">
        <v>1.0</v>
      </c>
      <c r="K12" s="16"/>
      <c r="L12" s="17"/>
      <c r="M12" s="14">
        <v>54000.0</v>
      </c>
      <c r="N12" s="1"/>
      <c r="O12" s="1"/>
      <c r="P12" s="41"/>
      <c r="Q12" s="41"/>
      <c r="R12" s="6"/>
      <c r="S12" s="6"/>
      <c r="T12" s="6"/>
    </row>
    <row r="13">
      <c r="A13" s="9" t="s">
        <v>19</v>
      </c>
      <c r="B13" s="10">
        <v>45728.0</v>
      </c>
      <c r="C13" s="11">
        <v>67000.0</v>
      </c>
      <c r="D13" s="11">
        <v>58000.0</v>
      </c>
      <c r="E13" s="12"/>
      <c r="F13" s="13" t="str">
        <f>Pointage!AF13</f>
        <v/>
      </c>
      <c r="G13" s="11">
        <v>2000.0</v>
      </c>
      <c r="H13" s="12"/>
      <c r="I13" s="12"/>
      <c r="J13" s="24">
        <v>1.0</v>
      </c>
      <c r="K13" s="16"/>
      <c r="L13" s="17"/>
      <c r="M13" s="14">
        <v>67000.0</v>
      </c>
      <c r="N13" s="37" t="s">
        <v>30</v>
      </c>
      <c r="O13" s="41"/>
      <c r="P13" s="6"/>
      <c r="Q13" s="41"/>
      <c r="R13" s="6"/>
      <c r="S13" s="6"/>
      <c r="T13" s="6"/>
    </row>
    <row r="14">
      <c r="A14" s="9" t="s">
        <v>22</v>
      </c>
      <c r="B14" s="10">
        <v>45729.0</v>
      </c>
      <c r="C14" s="11">
        <v>130000.0</v>
      </c>
      <c r="D14" s="11">
        <v>55000.0</v>
      </c>
      <c r="E14" s="12"/>
      <c r="F14" s="13" t="str">
        <f>Pointage!AF14</f>
        <v/>
      </c>
      <c r="G14" s="11">
        <v>2000.0</v>
      </c>
      <c r="H14" s="12"/>
      <c r="I14" s="12"/>
      <c r="J14" s="24">
        <v>1.0</v>
      </c>
      <c r="K14" s="16"/>
      <c r="L14" s="17"/>
      <c r="M14" s="14">
        <v>130000.0</v>
      </c>
      <c r="N14" s="42">
        <v>330000.0</v>
      </c>
      <c r="O14" s="41"/>
      <c r="P14" s="6"/>
      <c r="Q14" s="43"/>
      <c r="R14" s="6"/>
      <c r="S14" s="6"/>
      <c r="T14" s="6"/>
    </row>
    <row r="15">
      <c r="A15" s="29" t="s">
        <v>23</v>
      </c>
      <c r="B15" s="30">
        <v>45730.0</v>
      </c>
      <c r="C15" s="31">
        <v>60000.0</v>
      </c>
      <c r="D15" s="31">
        <v>74000.0</v>
      </c>
      <c r="E15" s="32"/>
      <c r="F15" s="33" t="str">
        <f>Pointage!AF15</f>
        <v/>
      </c>
      <c r="G15" s="31">
        <v>2000.0</v>
      </c>
      <c r="H15" s="32"/>
      <c r="I15" s="32"/>
      <c r="J15" s="34">
        <v>1.0</v>
      </c>
      <c r="K15" s="16"/>
      <c r="L15" s="17"/>
      <c r="M15" s="35">
        <v>60000.0</v>
      </c>
      <c r="N15" s="22"/>
      <c r="O15" s="22"/>
      <c r="P15" s="16"/>
      <c r="Q15" s="44" t="s">
        <v>31</v>
      </c>
      <c r="R15" s="6"/>
      <c r="S15" s="6"/>
      <c r="T15" s="6"/>
    </row>
    <row r="16">
      <c r="A16" s="9" t="s">
        <v>11</v>
      </c>
      <c r="B16" s="10">
        <v>45731.0</v>
      </c>
      <c r="C16" s="11">
        <v>50000.0</v>
      </c>
      <c r="D16" s="11">
        <v>29000.0</v>
      </c>
      <c r="E16" s="12"/>
      <c r="F16" s="13" t="str">
        <f>Pointage!AF16</f>
        <v/>
      </c>
      <c r="G16" s="11">
        <v>2000.0</v>
      </c>
      <c r="H16" s="12"/>
      <c r="I16" s="12"/>
      <c r="J16" s="24">
        <v>1.0</v>
      </c>
      <c r="K16" s="45">
        <v>1.0</v>
      </c>
      <c r="L16" s="17"/>
      <c r="M16" s="14">
        <v>50000.0</v>
      </c>
      <c r="N16" s="46" t="s">
        <v>32</v>
      </c>
      <c r="O16" s="22"/>
      <c r="P16" s="22"/>
      <c r="Q16" s="44" t="s">
        <v>33</v>
      </c>
      <c r="R16" s="6"/>
      <c r="S16" s="6"/>
      <c r="T16" s="6"/>
    </row>
    <row r="17">
      <c r="A17" s="9" t="s">
        <v>12</v>
      </c>
      <c r="B17" s="10">
        <v>45732.0</v>
      </c>
      <c r="C17" s="11">
        <v>71000.0</v>
      </c>
      <c r="D17" s="11">
        <v>56000.0</v>
      </c>
      <c r="E17" s="12"/>
      <c r="F17" s="13" t="str">
        <f>Pointage!AF17</f>
        <v/>
      </c>
      <c r="G17" s="11">
        <v>2000.0</v>
      </c>
      <c r="H17" s="12"/>
      <c r="I17" s="12"/>
      <c r="J17" s="24">
        <v>1.0</v>
      </c>
      <c r="K17" s="45">
        <v>1.0</v>
      </c>
      <c r="L17" s="17"/>
      <c r="M17" s="14">
        <v>71000.0</v>
      </c>
      <c r="N17" s="47">
        <v>0.0</v>
      </c>
      <c r="O17" s="22"/>
      <c r="P17" s="22"/>
      <c r="Q17" s="48" t="s">
        <v>34</v>
      </c>
      <c r="R17" s="6"/>
      <c r="S17" s="6"/>
      <c r="T17" s="6"/>
    </row>
    <row r="18">
      <c r="A18" s="9" t="s">
        <v>17</v>
      </c>
      <c r="B18" s="10">
        <v>45733.0</v>
      </c>
      <c r="C18" s="11">
        <v>39000.0</v>
      </c>
      <c r="D18" s="11">
        <v>37000.0</v>
      </c>
      <c r="E18" s="12"/>
      <c r="F18" s="13" t="str">
        <f>Pointage!AF18</f>
        <v/>
      </c>
      <c r="G18" s="11">
        <v>2000.0</v>
      </c>
      <c r="H18" s="12"/>
      <c r="I18" s="12"/>
      <c r="J18" s="24">
        <v>1.0</v>
      </c>
      <c r="K18" s="16"/>
      <c r="L18" s="17"/>
      <c r="M18" s="14">
        <v>39000.0</v>
      </c>
      <c r="N18" s="49"/>
      <c r="O18" s="22"/>
      <c r="P18" s="50"/>
      <c r="Q18" s="51" t="s">
        <v>35</v>
      </c>
      <c r="R18" s="52"/>
      <c r="S18" s="6"/>
      <c r="T18" s="6"/>
    </row>
    <row r="19">
      <c r="A19" s="9" t="s">
        <v>18</v>
      </c>
      <c r="B19" s="10">
        <v>45734.0</v>
      </c>
      <c r="C19" s="11">
        <v>60000.0</v>
      </c>
      <c r="D19" s="11">
        <v>36000.0</v>
      </c>
      <c r="E19" s="12"/>
      <c r="F19" s="13" t="str">
        <f>Pointage!AF19</f>
        <v/>
      </c>
      <c r="G19" s="11">
        <v>2000.0</v>
      </c>
      <c r="H19" s="12"/>
      <c r="I19" s="12"/>
      <c r="J19" s="24">
        <v>1.0</v>
      </c>
      <c r="K19" s="16"/>
      <c r="L19" s="17"/>
      <c r="M19" s="14">
        <v>60000.0</v>
      </c>
      <c r="N19" s="53" t="s">
        <v>36</v>
      </c>
      <c r="O19" s="22"/>
      <c r="P19" s="22"/>
      <c r="Q19" s="54" t="s">
        <v>37</v>
      </c>
      <c r="R19" s="22"/>
      <c r="S19" s="22"/>
      <c r="T19" s="6"/>
    </row>
    <row r="20">
      <c r="A20" s="9" t="s">
        <v>19</v>
      </c>
      <c r="B20" s="10">
        <v>45735.0</v>
      </c>
      <c r="C20" s="11">
        <v>41000.0</v>
      </c>
      <c r="D20" s="11">
        <v>49000.0</v>
      </c>
      <c r="E20" s="12"/>
      <c r="F20" s="13" t="str">
        <f>Pointage!AF20</f>
        <v/>
      </c>
      <c r="G20" s="11">
        <v>2000.0</v>
      </c>
      <c r="H20" s="12"/>
      <c r="I20" s="12"/>
      <c r="J20" s="24">
        <v>1.0</v>
      </c>
      <c r="K20" s="16"/>
      <c r="L20" s="17"/>
      <c r="M20" s="14">
        <v>41000.0</v>
      </c>
      <c r="N20" s="14">
        <f>D33-C33</f>
        <v>305000</v>
      </c>
      <c r="O20" s="22"/>
      <c r="P20" s="6"/>
      <c r="Q20" s="55" t="s">
        <v>38</v>
      </c>
      <c r="R20" s="6"/>
      <c r="S20" s="6"/>
      <c r="T20" s="6"/>
    </row>
    <row r="21">
      <c r="A21" s="9" t="s">
        <v>22</v>
      </c>
      <c r="B21" s="10">
        <v>45736.0</v>
      </c>
      <c r="C21" s="11">
        <v>110000.0</v>
      </c>
      <c r="D21" s="11">
        <v>61000.0</v>
      </c>
      <c r="E21" s="12"/>
      <c r="F21" s="13" t="str">
        <f>Pointage!AF21</f>
        <v/>
      </c>
      <c r="G21" s="11">
        <v>2000.0</v>
      </c>
      <c r="H21" s="12"/>
      <c r="I21" s="12"/>
      <c r="J21" s="24">
        <v>1.0</v>
      </c>
      <c r="K21" s="16"/>
      <c r="L21" s="17"/>
      <c r="M21" s="14">
        <v>110000.0</v>
      </c>
      <c r="N21" s="56" t="s">
        <v>39</v>
      </c>
      <c r="O21" s="22"/>
      <c r="P21" s="16"/>
      <c r="Q21" s="57" t="s">
        <v>40</v>
      </c>
      <c r="R21" s="50"/>
      <c r="S21" s="50"/>
      <c r="T21" s="16"/>
    </row>
    <row r="22">
      <c r="A22" s="29" t="s">
        <v>23</v>
      </c>
      <c r="B22" s="30">
        <v>45737.0</v>
      </c>
      <c r="C22" s="31">
        <v>55000.0</v>
      </c>
      <c r="D22" s="31">
        <v>61000.0</v>
      </c>
      <c r="E22" s="32"/>
      <c r="F22" s="33" t="str">
        <f>Pointage!AF22</f>
        <v/>
      </c>
      <c r="G22" s="31">
        <v>2000.0</v>
      </c>
      <c r="H22" s="32"/>
      <c r="I22" s="32"/>
      <c r="J22" s="34">
        <v>1.0</v>
      </c>
      <c r="K22" s="16"/>
      <c r="L22" s="17"/>
      <c r="M22" s="35">
        <v>55000.0</v>
      </c>
      <c r="N22" s="28">
        <f>L36-E36</f>
        <v>0</v>
      </c>
      <c r="O22" s="22"/>
      <c r="P22" s="16"/>
      <c r="Q22" s="47"/>
      <c r="R22" s="50"/>
      <c r="S22" s="50"/>
      <c r="T22" s="16"/>
    </row>
    <row r="23">
      <c r="A23" s="9" t="s">
        <v>11</v>
      </c>
      <c r="B23" s="10">
        <v>45738.0</v>
      </c>
      <c r="C23" s="11">
        <v>77000.0</v>
      </c>
      <c r="D23" s="11">
        <v>36000.0</v>
      </c>
      <c r="E23" s="12"/>
      <c r="F23" s="13" t="str">
        <f>Pointage!AF23</f>
        <v/>
      </c>
      <c r="G23" s="11">
        <v>2000.0</v>
      </c>
      <c r="H23" s="12"/>
      <c r="I23" s="12"/>
      <c r="J23" s="24">
        <v>1.0</v>
      </c>
      <c r="K23" s="16"/>
      <c r="L23" s="17"/>
      <c r="M23" s="14">
        <v>77000.0</v>
      </c>
      <c r="N23" s="58" t="s">
        <v>41</v>
      </c>
      <c r="O23" s="22"/>
      <c r="P23" s="16"/>
      <c r="Q23" s="50"/>
      <c r="R23" s="50"/>
      <c r="S23" s="50"/>
      <c r="T23" s="16"/>
    </row>
    <row r="24">
      <c r="A24" s="9" t="s">
        <v>12</v>
      </c>
      <c r="B24" s="10">
        <v>45739.0</v>
      </c>
      <c r="C24" s="11">
        <v>44000.0</v>
      </c>
      <c r="D24" s="11">
        <v>39000.0</v>
      </c>
      <c r="E24" s="12"/>
      <c r="F24" s="13" t="str">
        <f>Pointage!AF24</f>
        <v/>
      </c>
      <c r="G24" s="11">
        <v>2000.0</v>
      </c>
      <c r="H24" s="12"/>
      <c r="I24" s="12"/>
      <c r="J24" s="24">
        <v>1.0</v>
      </c>
      <c r="K24" s="16"/>
      <c r="L24" s="17"/>
      <c r="M24" s="14">
        <v>44000.0</v>
      </c>
      <c r="N24" s="42">
        <f>D33-C33</f>
        <v>305000</v>
      </c>
      <c r="O24" s="22"/>
      <c r="P24" s="16"/>
      <c r="Q24" s="50"/>
      <c r="R24" s="16"/>
      <c r="S24" s="16"/>
      <c r="T24" s="16"/>
    </row>
    <row r="25">
      <c r="A25" s="9" t="s">
        <v>17</v>
      </c>
      <c r="B25" s="10">
        <v>45740.0</v>
      </c>
      <c r="C25" s="11">
        <v>49000.0</v>
      </c>
      <c r="D25" s="11">
        <v>57000.0</v>
      </c>
      <c r="E25" s="12"/>
      <c r="F25" s="13" t="str">
        <f>Pointage!AF25</f>
        <v/>
      </c>
      <c r="G25" s="11">
        <v>2000.0</v>
      </c>
      <c r="H25" s="12"/>
      <c r="I25" s="12"/>
      <c r="J25" s="24">
        <v>1.0</v>
      </c>
      <c r="K25" s="16"/>
      <c r="L25" s="17"/>
      <c r="M25" s="14">
        <v>49000.0</v>
      </c>
      <c r="N25" s="37" t="s">
        <v>42</v>
      </c>
      <c r="O25" s="22"/>
      <c r="P25" s="16"/>
      <c r="Q25" s="50"/>
      <c r="R25" s="16"/>
      <c r="S25" s="16"/>
      <c r="T25" s="16"/>
    </row>
    <row r="26">
      <c r="A26" s="9" t="s">
        <v>18</v>
      </c>
      <c r="B26" s="10">
        <v>45741.0</v>
      </c>
      <c r="C26" s="11">
        <v>137000.0</v>
      </c>
      <c r="D26" s="11">
        <v>74000.0</v>
      </c>
      <c r="E26" s="12"/>
      <c r="F26" s="13" t="str">
        <f>Pointage!AF26</f>
        <v/>
      </c>
      <c r="G26" s="11">
        <v>2000.0</v>
      </c>
      <c r="H26" s="12"/>
      <c r="I26" s="12"/>
      <c r="J26" s="24">
        <v>1.0</v>
      </c>
      <c r="K26" s="16"/>
      <c r="L26" s="17"/>
      <c r="M26" s="14">
        <v>137000.0</v>
      </c>
      <c r="N26" s="28">
        <f>D9+D16+D23+D30</f>
        <v>489000</v>
      </c>
      <c r="O26" s="6"/>
      <c r="P26" s="16"/>
      <c r="Q26" s="50"/>
      <c r="R26" s="16"/>
      <c r="S26" s="16"/>
      <c r="T26" s="16"/>
    </row>
    <row r="27">
      <c r="A27" s="9" t="s">
        <v>19</v>
      </c>
      <c r="B27" s="10">
        <v>45742.0</v>
      </c>
      <c r="C27" s="11">
        <v>60000.0</v>
      </c>
      <c r="D27" s="11">
        <v>68000.0</v>
      </c>
      <c r="E27" s="12"/>
      <c r="F27" s="13" t="str">
        <f>Pointage!AF27</f>
        <v/>
      </c>
      <c r="G27" s="11">
        <v>2000.0</v>
      </c>
      <c r="H27" s="12"/>
      <c r="I27" s="12"/>
      <c r="J27" s="24">
        <v>1.0</v>
      </c>
      <c r="K27" s="16"/>
      <c r="L27" s="17"/>
      <c r="M27" s="14">
        <v>60000.0</v>
      </c>
      <c r="N27" s="41"/>
      <c r="O27" s="6"/>
      <c r="P27" s="16"/>
      <c r="Q27" s="50"/>
      <c r="R27" s="16"/>
      <c r="S27" s="16"/>
      <c r="T27" s="16"/>
    </row>
    <row r="28">
      <c r="A28" s="9" t="s">
        <v>22</v>
      </c>
      <c r="B28" s="10">
        <v>45743.0</v>
      </c>
      <c r="C28" s="11">
        <v>93000.0</v>
      </c>
      <c r="D28" s="11">
        <v>70000.0</v>
      </c>
      <c r="E28" s="12"/>
      <c r="F28" s="13" t="str">
        <f>Pointage!AF28</f>
        <v/>
      </c>
      <c r="G28" s="11">
        <v>2000.0</v>
      </c>
      <c r="H28" s="12"/>
      <c r="I28" s="12"/>
      <c r="J28" s="24">
        <v>1.0</v>
      </c>
      <c r="K28" s="16"/>
      <c r="L28" s="17"/>
      <c r="M28" s="14">
        <v>93000.0</v>
      </c>
      <c r="N28" s="26" t="s">
        <v>28</v>
      </c>
      <c r="O28" s="6"/>
      <c r="P28" s="16"/>
      <c r="Q28" s="50"/>
      <c r="R28" s="16"/>
      <c r="S28" s="16"/>
      <c r="T28" s="16"/>
    </row>
    <row r="29">
      <c r="A29" s="29" t="s">
        <v>23</v>
      </c>
      <c r="B29" s="30">
        <v>45744.0</v>
      </c>
      <c r="C29" s="31">
        <v>0.0</v>
      </c>
      <c r="D29" s="31">
        <v>226000.0</v>
      </c>
      <c r="E29" s="32"/>
      <c r="F29" s="33" t="str">
        <f>Pointage!AF29</f>
        <v/>
      </c>
      <c r="G29" s="31">
        <v>2000.0</v>
      </c>
      <c r="H29" s="32"/>
      <c r="I29" s="32"/>
      <c r="J29" s="34">
        <v>1.0</v>
      </c>
      <c r="K29" s="16"/>
      <c r="L29" s="17"/>
      <c r="M29" s="35">
        <v>70000.0</v>
      </c>
      <c r="N29" s="28">
        <v>51000.0</v>
      </c>
      <c r="O29" s="22"/>
      <c r="P29" s="16"/>
      <c r="Q29" s="50"/>
      <c r="R29" s="16"/>
      <c r="S29" s="16"/>
      <c r="T29" s="16"/>
    </row>
    <row r="30">
      <c r="A30" s="9" t="s">
        <v>11</v>
      </c>
      <c r="B30" s="10">
        <v>45745.0</v>
      </c>
      <c r="C30" s="11">
        <v>0.0</v>
      </c>
      <c r="D30" s="11">
        <v>370000.0</v>
      </c>
      <c r="E30" s="12"/>
      <c r="F30" s="13" t="str">
        <f>Pointage!AF30</f>
        <v/>
      </c>
      <c r="G30" s="11">
        <v>2000.0</v>
      </c>
      <c r="H30" s="12"/>
      <c r="I30" s="12"/>
      <c r="J30" s="24">
        <v>1.0</v>
      </c>
      <c r="K30" s="16"/>
      <c r="L30" s="17"/>
      <c r="M30" s="11">
        <v>0.0</v>
      </c>
      <c r="N30" s="59" t="s">
        <v>43</v>
      </c>
      <c r="O30" s="6"/>
      <c r="P30" s="16"/>
      <c r="Q30" s="50"/>
      <c r="R30" s="16"/>
      <c r="S30" s="16"/>
      <c r="T30" s="16"/>
    </row>
    <row r="31">
      <c r="A31" s="9" t="s">
        <v>12</v>
      </c>
      <c r="B31" s="10">
        <v>45746.0</v>
      </c>
      <c r="C31" s="11">
        <v>0.0</v>
      </c>
      <c r="D31" s="11">
        <v>60000.0</v>
      </c>
      <c r="E31" s="12"/>
      <c r="F31" s="13" t="str">
        <f>Pointage!AF31</f>
        <v/>
      </c>
      <c r="G31" s="11">
        <v>2000.0</v>
      </c>
      <c r="H31" s="12"/>
      <c r="I31" s="12"/>
      <c r="J31" s="24">
        <v>1.0</v>
      </c>
      <c r="K31" s="16"/>
      <c r="L31" s="17"/>
      <c r="M31" s="11">
        <v>0.0</v>
      </c>
      <c r="N31" s="41"/>
      <c r="O31" s="6"/>
      <c r="P31" s="50"/>
      <c r="Q31" s="16"/>
      <c r="R31" s="16"/>
      <c r="S31" s="16"/>
      <c r="T31" s="16"/>
    </row>
    <row r="32">
      <c r="A32" s="9" t="s">
        <v>17</v>
      </c>
      <c r="B32" s="10">
        <v>45747.0</v>
      </c>
      <c r="C32" s="11">
        <v>0.0</v>
      </c>
      <c r="D32" s="11">
        <v>0.0</v>
      </c>
      <c r="E32" s="12"/>
      <c r="F32" s="13" t="str">
        <f>Pointage!AF32</f>
        <v/>
      </c>
      <c r="G32" s="14"/>
      <c r="H32" s="12"/>
      <c r="I32" s="12"/>
      <c r="J32" s="15"/>
      <c r="K32" s="60"/>
      <c r="L32" s="17"/>
      <c r="M32" s="11">
        <v>0.0</v>
      </c>
      <c r="N32" s="41"/>
      <c r="O32" s="6"/>
      <c r="P32" s="50"/>
      <c r="Q32" s="50"/>
      <c r="R32" s="16"/>
      <c r="S32" s="16"/>
      <c r="T32" s="16"/>
    </row>
    <row r="33">
      <c r="A33" s="16"/>
      <c r="B33" s="61"/>
      <c r="C33" s="62">
        <f t="shared" ref="C33:D33" si="1">SUM(C2:C32)</f>
        <v>1789000</v>
      </c>
      <c r="D33" s="62">
        <f t="shared" si="1"/>
        <v>2094000</v>
      </c>
      <c r="E33" s="62">
        <f>'Les Charges'!H427</f>
        <v>957000.5</v>
      </c>
      <c r="F33" s="63">
        <f>'Les Salaires'!K24</f>
        <v>443707.935</v>
      </c>
      <c r="G33" s="62">
        <f>SUM(G2:G32)</f>
        <v>60000</v>
      </c>
      <c r="H33" s="62">
        <v>180000.0</v>
      </c>
      <c r="I33" s="62">
        <f>D33-E33-F33-G33-H33</f>
        <v>453291.565</v>
      </c>
      <c r="J33" s="64">
        <f>SUM(J2:J32)</f>
        <v>30</v>
      </c>
      <c r="K33" s="6"/>
      <c r="L33" s="17"/>
      <c r="M33" s="65">
        <f>SUM(M2:M32)</f>
        <v>1859000</v>
      </c>
      <c r="N33" s="41"/>
      <c r="O33" s="22"/>
      <c r="P33" s="50"/>
      <c r="Q33" s="50"/>
      <c r="R33" s="16"/>
      <c r="S33" s="16"/>
      <c r="T33" s="16"/>
    </row>
    <row r="34">
      <c r="A34" s="6"/>
      <c r="B34" s="66"/>
      <c r="C34" s="22"/>
      <c r="D34" s="22"/>
      <c r="E34" s="6"/>
      <c r="F34" s="67"/>
      <c r="G34" s="68" t="s">
        <v>44</v>
      </c>
      <c r="H34" s="69">
        <v>55000.0</v>
      </c>
      <c r="I34" s="6"/>
      <c r="J34" s="6"/>
      <c r="K34" s="6"/>
      <c r="L34" s="22"/>
      <c r="M34" s="22"/>
      <c r="N34" s="41"/>
      <c r="O34" s="22"/>
      <c r="P34" s="50"/>
      <c r="Q34" s="16"/>
      <c r="R34" s="16"/>
      <c r="S34" s="16"/>
      <c r="T34" s="16"/>
    </row>
    <row r="35">
      <c r="A35" s="6"/>
      <c r="B35" s="66"/>
      <c r="C35" s="22"/>
      <c r="D35" s="22"/>
      <c r="E35" s="22"/>
      <c r="F35" s="67"/>
      <c r="G35" s="70" t="s">
        <v>45</v>
      </c>
      <c r="H35" s="69">
        <v>40000.0</v>
      </c>
      <c r="I35" s="22"/>
      <c r="J35" s="6"/>
      <c r="K35" s="6"/>
      <c r="L35" s="22"/>
      <c r="M35" s="22"/>
      <c r="N35" s="28">
        <f>N11-N29-N34</f>
        <v>220999.5</v>
      </c>
      <c r="O35" s="6"/>
      <c r="P35" s="50"/>
      <c r="Q35" s="16"/>
      <c r="R35" s="16"/>
      <c r="S35" s="16"/>
      <c r="T35" s="16"/>
    </row>
    <row r="36">
      <c r="A36" s="6"/>
      <c r="B36" s="6"/>
      <c r="C36" s="6"/>
      <c r="D36" s="71">
        <v>200000.0</v>
      </c>
      <c r="E36" s="6"/>
      <c r="F36" s="67"/>
      <c r="G36" s="68" t="s">
        <v>46</v>
      </c>
      <c r="H36" s="69">
        <v>45000.0</v>
      </c>
      <c r="I36" s="6"/>
      <c r="J36" s="6"/>
      <c r="K36" s="6"/>
      <c r="L36" s="6"/>
      <c r="M36" s="6"/>
      <c r="N36" s="6"/>
      <c r="O36" s="6"/>
      <c r="P36" s="16"/>
      <c r="Q36" s="16"/>
      <c r="R36" s="16"/>
      <c r="S36" s="16"/>
      <c r="T36" s="16"/>
    </row>
    <row r="37">
      <c r="A37" s="6"/>
      <c r="B37" s="6"/>
      <c r="C37" s="6"/>
      <c r="D37" s="6"/>
      <c r="E37" s="6"/>
      <c r="F37" s="67"/>
      <c r="G37" s="68" t="s">
        <v>47</v>
      </c>
      <c r="H37" s="69">
        <v>40000.0</v>
      </c>
      <c r="I37" s="6"/>
      <c r="J37" s="6"/>
      <c r="K37" s="6"/>
      <c r="L37" s="6"/>
      <c r="M37" s="6"/>
      <c r="N37" s="6"/>
      <c r="O37" s="6"/>
      <c r="P37" s="16"/>
      <c r="Q37" s="16"/>
      <c r="R37" s="16"/>
      <c r="S37" s="16"/>
      <c r="T37" s="16"/>
    </row>
    <row r="38">
      <c r="A38" s="6"/>
      <c r="B38" s="6"/>
      <c r="C38" s="6"/>
      <c r="D38" s="6" t="s">
        <v>48</v>
      </c>
      <c r="E38" s="6"/>
      <c r="F38" s="67"/>
      <c r="G38" s="6"/>
      <c r="H38" s="6"/>
      <c r="I38" s="6"/>
      <c r="J38" s="6"/>
      <c r="K38" s="6"/>
      <c r="L38" s="6"/>
      <c r="M38" s="6"/>
      <c r="N38" s="6"/>
      <c r="O38" s="6"/>
      <c r="P38" s="16"/>
      <c r="Q38" s="16"/>
      <c r="R38" s="16"/>
      <c r="S38" s="16"/>
      <c r="T38" s="16"/>
    </row>
    <row r="39">
      <c r="A39" s="6"/>
      <c r="B39" s="6"/>
      <c r="C39" s="6"/>
      <c r="D39" s="6"/>
      <c r="E39" s="6"/>
      <c r="F39" s="67"/>
      <c r="G39" s="6"/>
      <c r="H39" s="6"/>
      <c r="I39" s="6"/>
      <c r="J39" s="6"/>
      <c r="K39" s="6"/>
      <c r="L39" s="6"/>
      <c r="M39" s="6"/>
      <c r="N39" s="6"/>
      <c r="O39" s="6"/>
      <c r="P39" s="16"/>
      <c r="Q39" s="16"/>
      <c r="R39" s="16"/>
      <c r="S39" s="16"/>
      <c r="T39" s="16"/>
    </row>
    <row r="40">
      <c r="A40" s="6"/>
      <c r="B40" s="6"/>
      <c r="C40" s="6"/>
      <c r="D40" s="6"/>
      <c r="E40" s="6"/>
      <c r="F40" s="67"/>
      <c r="G40" s="6"/>
      <c r="H40" s="6"/>
      <c r="I40" s="6"/>
      <c r="J40" s="6"/>
      <c r="K40" s="6"/>
      <c r="L40" s="6"/>
      <c r="M40" s="6"/>
      <c r="N40" s="6"/>
      <c r="O40" s="6"/>
      <c r="P40" s="16"/>
      <c r="Q40" s="16"/>
      <c r="R40" s="16"/>
      <c r="S40" s="16"/>
      <c r="T40" s="16"/>
    </row>
    <row r="41">
      <c r="A41" s="6"/>
      <c r="B41" s="6"/>
      <c r="C41" s="6"/>
      <c r="D41" s="6"/>
      <c r="E41" s="6"/>
      <c r="F41" s="67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</row>
    <row r="42">
      <c r="A42" s="6"/>
      <c r="B42" s="6"/>
      <c r="C42" s="6"/>
      <c r="D42" s="6"/>
      <c r="E42" s="6"/>
      <c r="F42" s="67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</row>
    <row r="43">
      <c r="A43" s="6"/>
      <c r="B43" s="6"/>
      <c r="C43" s="6"/>
      <c r="D43" s="6"/>
      <c r="E43" s="6"/>
      <c r="F43" s="67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</row>
    <row r="44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</row>
    <row r="45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</row>
    <row r="46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</row>
    <row r="4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</row>
    <row r="48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</row>
    <row r="49">
      <c r="A49" s="6"/>
      <c r="B49" s="6"/>
      <c r="C49" s="72">
        <v>1.0</v>
      </c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</row>
    <row r="50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</row>
    <row r="51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</row>
    <row r="52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</row>
    <row r="53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</row>
    <row r="54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</row>
    <row r="55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</row>
    <row r="5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76.25"/>
    <col customWidth="1" min="6" max="7" width="25.25"/>
    <col customWidth="1" min="8" max="8" width="25.63"/>
    <col customWidth="1" min="9" max="9" width="88.25"/>
  </cols>
  <sheetData>
    <row r="2">
      <c r="E2" s="73" t="s">
        <v>49</v>
      </c>
      <c r="F2" s="74" t="s">
        <v>50</v>
      </c>
      <c r="G2" s="74" t="s">
        <v>51</v>
      </c>
      <c r="H2" s="74" t="s">
        <v>52</v>
      </c>
      <c r="I2" s="74" t="s">
        <v>53</v>
      </c>
      <c r="J2" s="6"/>
    </row>
    <row r="3">
      <c r="E3" s="15" t="s">
        <v>54</v>
      </c>
      <c r="F3" s="24">
        <v>20.0</v>
      </c>
      <c r="G3" s="14">
        <v>380.0</v>
      </c>
      <c r="H3" s="75">
        <f t="shared" ref="H3:H150" si="1">F3*G3</f>
        <v>7600</v>
      </c>
      <c r="I3" s="76"/>
      <c r="J3" s="6"/>
    </row>
    <row r="4">
      <c r="E4" s="15" t="s">
        <v>55</v>
      </c>
      <c r="F4" s="24">
        <v>5.0</v>
      </c>
      <c r="G4" s="14">
        <v>1000.0</v>
      </c>
      <c r="H4" s="75">
        <f t="shared" si="1"/>
        <v>5000</v>
      </c>
      <c r="I4" s="76"/>
      <c r="J4" s="6"/>
    </row>
    <row r="5">
      <c r="E5" s="15" t="s">
        <v>56</v>
      </c>
      <c r="F5" s="24">
        <v>5.0</v>
      </c>
      <c r="G5" s="14">
        <v>1000.0</v>
      </c>
      <c r="H5" s="75">
        <f t="shared" si="1"/>
        <v>5000</v>
      </c>
      <c r="I5" s="76"/>
      <c r="J5" s="6"/>
    </row>
    <row r="6">
      <c r="E6" s="15" t="s">
        <v>57</v>
      </c>
      <c r="F6" s="24">
        <v>3.0</v>
      </c>
      <c r="G6" s="14">
        <v>950.0</v>
      </c>
      <c r="H6" s="75">
        <f t="shared" si="1"/>
        <v>2850</v>
      </c>
      <c r="I6" s="76"/>
      <c r="J6" s="6"/>
    </row>
    <row r="7">
      <c r="E7" s="15" t="s">
        <v>58</v>
      </c>
      <c r="F7" s="24">
        <v>1.0</v>
      </c>
      <c r="G7" s="14">
        <v>270.0</v>
      </c>
      <c r="H7" s="75">
        <f t="shared" si="1"/>
        <v>270</v>
      </c>
      <c r="I7" s="76"/>
      <c r="J7" s="6"/>
    </row>
    <row r="8">
      <c r="E8" s="77" t="s">
        <v>59</v>
      </c>
      <c r="F8" s="78">
        <v>5.0</v>
      </c>
      <c r="G8" s="79">
        <v>580.0</v>
      </c>
      <c r="H8" s="80">
        <f t="shared" si="1"/>
        <v>2900</v>
      </c>
      <c r="I8" s="76"/>
      <c r="J8" s="6"/>
    </row>
    <row r="9">
      <c r="E9" s="15" t="s">
        <v>60</v>
      </c>
      <c r="F9" s="15">
        <v>5.0</v>
      </c>
      <c r="G9" s="14">
        <v>100.0</v>
      </c>
      <c r="H9" s="75">
        <f t="shared" si="1"/>
        <v>500</v>
      </c>
      <c r="I9" s="76"/>
      <c r="J9" s="6"/>
    </row>
    <row r="10">
      <c r="E10" s="81" t="s">
        <v>61</v>
      </c>
      <c r="F10" s="24">
        <v>10.0</v>
      </c>
      <c r="G10" s="14">
        <v>415.0</v>
      </c>
      <c r="H10" s="75">
        <f t="shared" si="1"/>
        <v>4150</v>
      </c>
      <c r="I10" s="76"/>
      <c r="J10" s="6"/>
    </row>
    <row r="11">
      <c r="E11" s="15" t="s">
        <v>62</v>
      </c>
      <c r="F11" s="24">
        <v>2.0</v>
      </c>
      <c r="G11" s="14">
        <v>230.0</v>
      </c>
      <c r="H11" s="75">
        <f t="shared" si="1"/>
        <v>460</v>
      </c>
      <c r="I11" s="76"/>
      <c r="J11" s="6"/>
    </row>
    <row r="12">
      <c r="E12" s="15" t="s">
        <v>63</v>
      </c>
      <c r="F12" s="24">
        <v>8.0</v>
      </c>
      <c r="G12" s="14">
        <v>230.0</v>
      </c>
      <c r="H12" s="75">
        <f t="shared" si="1"/>
        <v>1840</v>
      </c>
      <c r="I12" s="76"/>
      <c r="J12" s="6"/>
    </row>
    <row r="13">
      <c r="E13" s="81" t="s">
        <v>64</v>
      </c>
      <c r="F13" s="24">
        <v>5.0</v>
      </c>
      <c r="G13" s="11">
        <v>270.0</v>
      </c>
      <c r="H13" s="75">
        <f t="shared" si="1"/>
        <v>1350</v>
      </c>
      <c r="I13" s="76"/>
      <c r="J13" s="6"/>
    </row>
    <row r="14">
      <c r="E14" s="81" t="s">
        <v>65</v>
      </c>
      <c r="F14" s="24">
        <v>10.0</v>
      </c>
      <c r="G14" s="14">
        <v>230.0</v>
      </c>
      <c r="H14" s="75">
        <f t="shared" si="1"/>
        <v>2300</v>
      </c>
      <c r="I14" s="76"/>
      <c r="J14" s="6"/>
    </row>
    <row r="15">
      <c r="E15" s="15" t="s">
        <v>66</v>
      </c>
      <c r="F15" s="24">
        <v>0.5</v>
      </c>
      <c r="G15" s="14">
        <v>1350.0</v>
      </c>
      <c r="H15" s="75">
        <f t="shared" si="1"/>
        <v>675</v>
      </c>
      <c r="I15" s="76"/>
      <c r="J15" s="6"/>
    </row>
    <row r="16">
      <c r="E16" s="82" t="s">
        <v>67</v>
      </c>
      <c r="F16" s="83">
        <v>2.0</v>
      </c>
      <c r="G16" s="84">
        <v>180.0</v>
      </c>
      <c r="H16" s="85">
        <f t="shared" si="1"/>
        <v>360</v>
      </c>
      <c r="I16" s="76"/>
      <c r="J16" s="6"/>
    </row>
    <row r="17">
      <c r="E17" s="24" t="s">
        <v>68</v>
      </c>
      <c r="F17" s="24">
        <v>3.0</v>
      </c>
      <c r="G17" s="11">
        <v>800.0</v>
      </c>
      <c r="H17" s="75">
        <f t="shared" si="1"/>
        <v>2400</v>
      </c>
      <c r="I17" s="76"/>
      <c r="J17" s="6"/>
    </row>
    <row r="18">
      <c r="E18" s="24" t="s">
        <v>69</v>
      </c>
      <c r="F18" s="24">
        <v>10.0</v>
      </c>
      <c r="G18" s="11">
        <v>176.0</v>
      </c>
      <c r="H18" s="75">
        <f t="shared" si="1"/>
        <v>1760</v>
      </c>
      <c r="I18" s="76"/>
      <c r="J18" s="6"/>
    </row>
    <row r="19">
      <c r="E19" s="86" t="s">
        <v>70</v>
      </c>
      <c r="F19" s="86">
        <v>4.0</v>
      </c>
      <c r="G19" s="87">
        <v>154.0</v>
      </c>
      <c r="H19" s="88">
        <f t="shared" si="1"/>
        <v>616</v>
      </c>
      <c r="I19" s="76"/>
      <c r="J19" s="6"/>
    </row>
    <row r="20">
      <c r="E20" s="89" t="s">
        <v>71</v>
      </c>
      <c r="F20" s="86">
        <v>1.5</v>
      </c>
      <c r="G20" s="90">
        <v>700.0</v>
      </c>
      <c r="H20" s="88">
        <f t="shared" si="1"/>
        <v>1050</v>
      </c>
      <c r="I20" s="76"/>
      <c r="J20" s="6"/>
    </row>
    <row r="21">
      <c r="E21" s="89" t="s">
        <v>72</v>
      </c>
      <c r="F21" s="86">
        <v>15.0</v>
      </c>
      <c r="G21" s="90">
        <v>2380.0</v>
      </c>
      <c r="H21" s="88">
        <f t="shared" si="1"/>
        <v>35700</v>
      </c>
      <c r="I21" s="76"/>
      <c r="J21" s="6"/>
    </row>
    <row r="22">
      <c r="E22" s="89" t="s">
        <v>73</v>
      </c>
      <c r="F22" s="86">
        <v>20.0</v>
      </c>
      <c r="G22" s="90">
        <v>1700.0</v>
      </c>
      <c r="H22" s="88">
        <f t="shared" si="1"/>
        <v>34000</v>
      </c>
      <c r="I22" s="76"/>
      <c r="J22" s="6"/>
    </row>
    <row r="23">
      <c r="E23" s="24" t="s">
        <v>74</v>
      </c>
      <c r="F23" s="24">
        <v>5.0</v>
      </c>
      <c r="G23" s="11">
        <v>1350.0</v>
      </c>
      <c r="H23" s="75">
        <f t="shared" si="1"/>
        <v>6750</v>
      </c>
      <c r="I23" s="76"/>
      <c r="J23" s="6"/>
    </row>
    <row r="24">
      <c r="E24" s="24" t="s">
        <v>75</v>
      </c>
      <c r="F24" s="24">
        <v>0.5</v>
      </c>
      <c r="G24" s="11">
        <v>5500.0</v>
      </c>
      <c r="H24" s="75">
        <f t="shared" si="1"/>
        <v>2750</v>
      </c>
      <c r="I24" s="76"/>
      <c r="J24" s="6"/>
    </row>
    <row r="25">
      <c r="E25" s="89" t="s">
        <v>76</v>
      </c>
      <c r="F25" s="89">
        <v>200.0</v>
      </c>
      <c r="G25" s="90">
        <v>7.5</v>
      </c>
      <c r="H25" s="88">
        <f t="shared" si="1"/>
        <v>1500</v>
      </c>
      <c r="I25" s="76"/>
      <c r="J25" s="6"/>
    </row>
    <row r="26">
      <c r="E26" s="89" t="s">
        <v>77</v>
      </c>
      <c r="F26" s="86">
        <v>9.0</v>
      </c>
      <c r="G26" s="90">
        <v>450.0</v>
      </c>
      <c r="H26" s="88">
        <f t="shared" si="1"/>
        <v>4050</v>
      </c>
      <c r="I26" s="76"/>
      <c r="J26" s="6"/>
    </row>
    <row r="27">
      <c r="E27" s="24" t="s">
        <v>78</v>
      </c>
      <c r="F27" s="24">
        <v>24.0</v>
      </c>
      <c r="G27" s="11">
        <v>430.0</v>
      </c>
      <c r="H27" s="75">
        <f t="shared" si="1"/>
        <v>10320</v>
      </c>
      <c r="I27" s="76"/>
      <c r="J27" s="6"/>
    </row>
    <row r="28">
      <c r="E28" s="24" t="s">
        <v>79</v>
      </c>
      <c r="F28" s="24">
        <v>2.0</v>
      </c>
      <c r="G28" s="11">
        <v>450.0</v>
      </c>
      <c r="H28" s="75">
        <f t="shared" si="1"/>
        <v>900</v>
      </c>
      <c r="I28" s="76"/>
      <c r="J28" s="6"/>
    </row>
    <row r="29">
      <c r="E29" s="24" t="s">
        <v>80</v>
      </c>
      <c r="F29" s="24">
        <v>10.0</v>
      </c>
      <c r="G29" s="11">
        <v>250.0</v>
      </c>
      <c r="H29" s="75">
        <f t="shared" si="1"/>
        <v>2500</v>
      </c>
      <c r="I29" s="76"/>
      <c r="J29" s="6"/>
    </row>
    <row r="30">
      <c r="E30" s="24" t="s">
        <v>81</v>
      </c>
      <c r="F30" s="24">
        <v>3.0</v>
      </c>
      <c r="G30" s="11">
        <v>30.0</v>
      </c>
      <c r="H30" s="75">
        <f t="shared" si="1"/>
        <v>90</v>
      </c>
      <c r="I30" s="76"/>
      <c r="J30" s="6"/>
    </row>
    <row r="31">
      <c r="E31" s="82" t="s">
        <v>82</v>
      </c>
      <c r="F31" s="83">
        <v>0.05</v>
      </c>
      <c r="G31" s="84">
        <v>900.0</v>
      </c>
      <c r="H31" s="85">
        <f t="shared" si="1"/>
        <v>45</v>
      </c>
      <c r="I31" s="76"/>
      <c r="J31" s="6"/>
    </row>
    <row r="32">
      <c r="E32" s="89" t="s">
        <v>83</v>
      </c>
      <c r="F32" s="86">
        <v>1.2</v>
      </c>
      <c r="G32" s="90">
        <v>1650.0</v>
      </c>
      <c r="H32" s="88">
        <f t="shared" si="1"/>
        <v>1980</v>
      </c>
      <c r="I32" s="76"/>
      <c r="J32" s="6"/>
    </row>
    <row r="33">
      <c r="E33" s="89" t="s">
        <v>84</v>
      </c>
      <c r="F33" s="86">
        <v>5.0</v>
      </c>
      <c r="G33" s="90">
        <v>200.0</v>
      </c>
      <c r="H33" s="88">
        <f t="shared" si="1"/>
        <v>1000</v>
      </c>
      <c r="I33" s="76"/>
      <c r="J33" s="6"/>
    </row>
    <row r="34">
      <c r="E34" s="89" t="s">
        <v>85</v>
      </c>
      <c r="F34" s="86">
        <v>14.0</v>
      </c>
      <c r="G34" s="90">
        <v>90.0</v>
      </c>
      <c r="H34" s="88">
        <f t="shared" si="1"/>
        <v>1260</v>
      </c>
      <c r="I34" s="76"/>
      <c r="J34" s="6"/>
    </row>
    <row r="35">
      <c r="E35" s="89" t="s">
        <v>86</v>
      </c>
      <c r="F35" s="86">
        <v>19.0</v>
      </c>
      <c r="G35" s="90">
        <v>116.0</v>
      </c>
      <c r="H35" s="88">
        <f t="shared" si="1"/>
        <v>2204</v>
      </c>
      <c r="I35" s="76"/>
      <c r="J35" s="6"/>
    </row>
    <row r="36">
      <c r="E36" s="89" t="s">
        <v>87</v>
      </c>
      <c r="F36" s="86">
        <v>1.0</v>
      </c>
      <c r="G36" s="90">
        <v>280.0</v>
      </c>
      <c r="H36" s="88">
        <f t="shared" si="1"/>
        <v>280</v>
      </c>
      <c r="I36" s="76"/>
      <c r="J36" s="6"/>
    </row>
    <row r="37">
      <c r="E37" s="89" t="s">
        <v>88</v>
      </c>
      <c r="F37" s="86">
        <v>2.0</v>
      </c>
      <c r="G37" s="90">
        <v>1320.0</v>
      </c>
      <c r="H37" s="88">
        <f t="shared" si="1"/>
        <v>2640</v>
      </c>
      <c r="I37" s="61"/>
      <c r="J37" s="6"/>
    </row>
    <row r="38">
      <c r="E38" s="89" t="s">
        <v>89</v>
      </c>
      <c r="F38" s="86">
        <v>2.0</v>
      </c>
      <c r="G38" s="90">
        <v>300.0</v>
      </c>
      <c r="H38" s="88">
        <f t="shared" si="1"/>
        <v>600</v>
      </c>
      <c r="I38" s="61"/>
      <c r="J38" s="6"/>
    </row>
    <row r="39">
      <c r="E39" s="89" t="s">
        <v>90</v>
      </c>
      <c r="F39" s="89">
        <v>1.0</v>
      </c>
      <c r="G39" s="90">
        <v>300.0</v>
      </c>
      <c r="H39" s="88">
        <f t="shared" si="1"/>
        <v>300</v>
      </c>
      <c r="I39" s="61"/>
      <c r="J39" s="6"/>
    </row>
    <row r="40">
      <c r="E40" s="89" t="s">
        <v>91</v>
      </c>
      <c r="F40" s="89">
        <v>1.0</v>
      </c>
      <c r="G40" s="90">
        <v>240.0</v>
      </c>
      <c r="H40" s="88">
        <f t="shared" si="1"/>
        <v>240</v>
      </c>
      <c r="I40" s="61"/>
      <c r="J40" s="6"/>
    </row>
    <row r="41">
      <c r="E41" s="89" t="s">
        <v>92</v>
      </c>
      <c r="F41" s="86">
        <v>54.0</v>
      </c>
      <c r="G41" s="90">
        <v>82.0</v>
      </c>
      <c r="H41" s="88">
        <f t="shared" si="1"/>
        <v>4428</v>
      </c>
      <c r="I41" s="61"/>
      <c r="J41" s="6"/>
    </row>
    <row r="42">
      <c r="E42" s="89" t="s">
        <v>93</v>
      </c>
      <c r="F42" s="86">
        <v>12.0</v>
      </c>
      <c r="G42" s="90">
        <v>65.0</v>
      </c>
      <c r="H42" s="88">
        <f t="shared" si="1"/>
        <v>780</v>
      </c>
      <c r="I42" s="61"/>
      <c r="J42" s="6"/>
    </row>
    <row r="43">
      <c r="E43" s="89" t="s">
        <v>94</v>
      </c>
      <c r="F43" s="86">
        <v>10.0</v>
      </c>
      <c r="G43" s="90">
        <v>100.0</v>
      </c>
      <c r="H43" s="88">
        <f t="shared" si="1"/>
        <v>1000</v>
      </c>
      <c r="I43" s="61"/>
      <c r="J43" s="6"/>
    </row>
    <row r="44">
      <c r="E44" s="86" t="s">
        <v>95</v>
      </c>
      <c r="F44" s="86">
        <v>4.0</v>
      </c>
      <c r="G44" s="87">
        <v>35.0</v>
      </c>
      <c r="H44" s="88">
        <f t="shared" si="1"/>
        <v>140</v>
      </c>
      <c r="I44" s="61"/>
      <c r="J44" s="6"/>
    </row>
    <row r="45">
      <c r="E45" s="86" t="s">
        <v>96</v>
      </c>
      <c r="F45" s="86">
        <v>7.0</v>
      </c>
      <c r="G45" s="87">
        <v>100.0</v>
      </c>
      <c r="H45" s="88">
        <f t="shared" si="1"/>
        <v>700</v>
      </c>
      <c r="I45" s="61"/>
      <c r="J45" s="6"/>
    </row>
    <row r="46">
      <c r="E46" s="86" t="s">
        <v>97</v>
      </c>
      <c r="F46" s="86">
        <v>4.0</v>
      </c>
      <c r="G46" s="87">
        <v>450.0</v>
      </c>
      <c r="H46" s="88">
        <f t="shared" si="1"/>
        <v>1800</v>
      </c>
      <c r="I46" s="61"/>
      <c r="J46" s="6"/>
    </row>
    <row r="47">
      <c r="E47" s="86" t="s">
        <v>98</v>
      </c>
      <c r="F47" s="86">
        <v>1.0</v>
      </c>
      <c r="G47" s="87">
        <v>970.0</v>
      </c>
      <c r="H47" s="88">
        <f t="shared" si="1"/>
        <v>970</v>
      </c>
      <c r="I47" s="61"/>
      <c r="J47" s="6"/>
    </row>
    <row r="48">
      <c r="E48" s="86" t="s">
        <v>99</v>
      </c>
      <c r="F48" s="86">
        <v>1.5</v>
      </c>
      <c r="G48" s="87">
        <v>650.0</v>
      </c>
      <c r="H48" s="88">
        <f t="shared" si="1"/>
        <v>975</v>
      </c>
      <c r="I48" s="61"/>
      <c r="J48" s="6"/>
    </row>
    <row r="49">
      <c r="E49" s="86" t="s">
        <v>89</v>
      </c>
      <c r="F49" s="86">
        <v>2.0</v>
      </c>
      <c r="G49" s="87">
        <v>300.0</v>
      </c>
      <c r="H49" s="88">
        <f t="shared" si="1"/>
        <v>600</v>
      </c>
      <c r="I49" s="61"/>
      <c r="J49" s="6"/>
    </row>
    <row r="50">
      <c r="E50" s="89" t="s">
        <v>100</v>
      </c>
      <c r="F50" s="86">
        <v>6.0</v>
      </c>
      <c r="G50" s="90">
        <v>300.0</v>
      </c>
      <c r="H50" s="88">
        <f t="shared" si="1"/>
        <v>1800</v>
      </c>
      <c r="I50" s="61"/>
      <c r="J50" s="6"/>
    </row>
    <row r="51">
      <c r="E51" s="91" t="s">
        <v>101</v>
      </c>
      <c r="F51" s="89">
        <v>10.0</v>
      </c>
      <c r="G51" s="90">
        <v>200.0</v>
      </c>
      <c r="H51" s="88">
        <f t="shared" si="1"/>
        <v>2000</v>
      </c>
      <c r="I51" s="61"/>
      <c r="J51" s="6"/>
    </row>
    <row r="52">
      <c r="E52" s="86" t="s">
        <v>102</v>
      </c>
      <c r="F52" s="86">
        <v>1.0</v>
      </c>
      <c r="G52" s="87">
        <v>2100.0</v>
      </c>
      <c r="H52" s="88">
        <f t="shared" si="1"/>
        <v>2100</v>
      </c>
      <c r="I52" s="61"/>
      <c r="J52" s="6"/>
    </row>
    <row r="53">
      <c r="E53" s="86" t="s">
        <v>103</v>
      </c>
      <c r="F53" s="86">
        <v>1.0</v>
      </c>
      <c r="G53" s="87">
        <v>1300.0</v>
      </c>
      <c r="H53" s="88">
        <f t="shared" si="1"/>
        <v>1300</v>
      </c>
      <c r="I53" s="61"/>
      <c r="J53" s="6"/>
    </row>
    <row r="54">
      <c r="E54" s="86" t="s">
        <v>104</v>
      </c>
      <c r="F54" s="86">
        <v>10.0</v>
      </c>
      <c r="G54" s="87">
        <v>450.0</v>
      </c>
      <c r="H54" s="88">
        <f t="shared" si="1"/>
        <v>4500</v>
      </c>
      <c r="I54" s="61"/>
      <c r="J54" s="6"/>
    </row>
    <row r="55">
      <c r="E55" s="86" t="s">
        <v>105</v>
      </c>
      <c r="F55" s="86">
        <v>50.0</v>
      </c>
      <c r="G55" s="87">
        <v>40.0</v>
      </c>
      <c r="H55" s="88">
        <f t="shared" si="1"/>
        <v>2000</v>
      </c>
      <c r="I55" s="61"/>
      <c r="J55" s="6"/>
    </row>
    <row r="56">
      <c r="E56" s="86" t="s">
        <v>106</v>
      </c>
      <c r="F56" s="86">
        <v>10.0</v>
      </c>
      <c r="G56" s="87">
        <v>150.0</v>
      </c>
      <c r="H56" s="88">
        <f t="shared" si="1"/>
        <v>1500</v>
      </c>
      <c r="I56" s="61"/>
      <c r="J56" s="6"/>
    </row>
    <row r="57">
      <c r="E57" s="86" t="s">
        <v>107</v>
      </c>
      <c r="F57" s="86">
        <v>1.0</v>
      </c>
      <c r="G57" s="87">
        <v>300.0</v>
      </c>
      <c r="H57" s="88">
        <f t="shared" si="1"/>
        <v>300</v>
      </c>
      <c r="I57" s="61"/>
      <c r="J57" s="6"/>
    </row>
    <row r="58">
      <c r="E58" s="86" t="s">
        <v>108</v>
      </c>
      <c r="F58" s="86">
        <v>2.0</v>
      </c>
      <c r="G58" s="87">
        <v>350.0</v>
      </c>
      <c r="H58" s="88">
        <f t="shared" si="1"/>
        <v>700</v>
      </c>
      <c r="I58" s="61"/>
      <c r="J58" s="6"/>
    </row>
    <row r="59">
      <c r="E59" s="86" t="s">
        <v>109</v>
      </c>
      <c r="F59" s="86">
        <v>2.0</v>
      </c>
      <c r="G59" s="87">
        <v>360.0</v>
      </c>
      <c r="H59" s="88">
        <f t="shared" si="1"/>
        <v>720</v>
      </c>
      <c r="I59" s="61"/>
      <c r="J59" s="6"/>
    </row>
    <row r="60">
      <c r="E60" s="86" t="s">
        <v>110</v>
      </c>
      <c r="F60" s="86">
        <v>1.0</v>
      </c>
      <c r="G60" s="87">
        <v>1100.0</v>
      </c>
      <c r="H60" s="88">
        <f t="shared" si="1"/>
        <v>1100</v>
      </c>
      <c r="I60" s="61"/>
      <c r="J60" s="6"/>
    </row>
    <row r="61">
      <c r="E61" s="86" t="s">
        <v>110</v>
      </c>
      <c r="F61" s="86">
        <v>0.5</v>
      </c>
      <c r="G61" s="87">
        <v>1800.0</v>
      </c>
      <c r="H61" s="88">
        <f t="shared" si="1"/>
        <v>900</v>
      </c>
      <c r="I61" s="61"/>
      <c r="J61" s="6"/>
    </row>
    <row r="62">
      <c r="E62" s="86" t="s">
        <v>75</v>
      </c>
      <c r="F62" s="86">
        <v>0.5</v>
      </c>
      <c r="G62" s="87">
        <v>6000.0</v>
      </c>
      <c r="H62" s="88">
        <f t="shared" si="1"/>
        <v>3000</v>
      </c>
      <c r="I62" s="61"/>
      <c r="J62" s="6"/>
    </row>
    <row r="63">
      <c r="E63" s="86" t="s">
        <v>111</v>
      </c>
      <c r="F63" s="86">
        <v>0.075</v>
      </c>
      <c r="G63" s="87">
        <v>10000.0</v>
      </c>
      <c r="H63" s="88">
        <f t="shared" si="1"/>
        <v>750</v>
      </c>
      <c r="I63" s="61"/>
      <c r="J63" s="6"/>
    </row>
    <row r="64">
      <c r="E64" s="86" t="s">
        <v>88</v>
      </c>
      <c r="F64" s="86">
        <v>1.0</v>
      </c>
      <c r="G64" s="87">
        <v>1450.0</v>
      </c>
      <c r="H64" s="88">
        <f t="shared" si="1"/>
        <v>1450</v>
      </c>
      <c r="I64" s="61"/>
      <c r="J64" s="6"/>
    </row>
    <row r="65">
      <c r="E65" s="86" t="s">
        <v>112</v>
      </c>
      <c r="F65" s="86">
        <v>40.0</v>
      </c>
      <c r="G65" s="87">
        <v>70.0</v>
      </c>
      <c r="H65" s="88">
        <f t="shared" si="1"/>
        <v>2800</v>
      </c>
      <c r="I65" s="61"/>
      <c r="J65" s="6"/>
    </row>
    <row r="66">
      <c r="E66" s="86" t="s">
        <v>113</v>
      </c>
      <c r="F66" s="86">
        <v>50.0</v>
      </c>
      <c r="G66" s="87">
        <v>100.0</v>
      </c>
      <c r="H66" s="88">
        <f t="shared" si="1"/>
        <v>5000</v>
      </c>
      <c r="I66" s="61"/>
      <c r="J66" s="6"/>
    </row>
    <row r="67">
      <c r="E67" s="86" t="s">
        <v>114</v>
      </c>
      <c r="F67" s="86">
        <v>40.0</v>
      </c>
      <c r="G67" s="87">
        <v>120.0</v>
      </c>
      <c r="H67" s="88">
        <f t="shared" si="1"/>
        <v>4800</v>
      </c>
      <c r="I67" s="61"/>
      <c r="J67" s="6"/>
    </row>
    <row r="68">
      <c r="E68" s="86" t="s">
        <v>115</v>
      </c>
      <c r="F68" s="86">
        <v>11.5</v>
      </c>
      <c r="G68" s="87">
        <v>700.0</v>
      </c>
      <c r="H68" s="88">
        <f t="shared" si="1"/>
        <v>8050</v>
      </c>
      <c r="I68" s="61"/>
      <c r="J68" s="6"/>
    </row>
    <row r="69">
      <c r="E69" s="86" t="s">
        <v>116</v>
      </c>
      <c r="F69" s="86">
        <v>5.0</v>
      </c>
      <c r="G69" s="87">
        <v>120.0</v>
      </c>
      <c r="H69" s="88">
        <f t="shared" si="1"/>
        <v>600</v>
      </c>
      <c r="I69" s="61"/>
      <c r="J69" s="6"/>
    </row>
    <row r="70">
      <c r="E70" s="86" t="s">
        <v>117</v>
      </c>
      <c r="F70" s="86">
        <v>7.0</v>
      </c>
      <c r="G70" s="87">
        <v>250.0</v>
      </c>
      <c r="H70" s="88">
        <f t="shared" si="1"/>
        <v>1750</v>
      </c>
      <c r="I70" s="61"/>
      <c r="J70" s="6"/>
    </row>
    <row r="71">
      <c r="E71" s="86" t="s">
        <v>118</v>
      </c>
      <c r="F71" s="86">
        <v>1.0</v>
      </c>
      <c r="G71" s="87">
        <v>600.0</v>
      </c>
      <c r="H71" s="88">
        <f t="shared" si="1"/>
        <v>600</v>
      </c>
      <c r="I71" s="61"/>
      <c r="J71" s="6"/>
    </row>
    <row r="72">
      <c r="E72" s="86" t="s">
        <v>119</v>
      </c>
      <c r="F72" s="86">
        <v>1.0</v>
      </c>
      <c r="G72" s="87">
        <v>700.0</v>
      </c>
      <c r="H72" s="88">
        <f t="shared" si="1"/>
        <v>700</v>
      </c>
      <c r="I72" s="61"/>
      <c r="J72" s="6"/>
    </row>
    <row r="73">
      <c r="E73" s="86" t="s">
        <v>120</v>
      </c>
      <c r="F73" s="86">
        <v>6.0</v>
      </c>
      <c r="G73" s="87">
        <v>350.0</v>
      </c>
      <c r="H73" s="88">
        <f t="shared" si="1"/>
        <v>2100</v>
      </c>
      <c r="I73" s="61"/>
      <c r="J73" s="6"/>
    </row>
    <row r="74">
      <c r="E74" s="86" t="s">
        <v>121</v>
      </c>
      <c r="F74" s="86">
        <v>3.0</v>
      </c>
      <c r="G74" s="87">
        <v>180.0</v>
      </c>
      <c r="H74" s="88">
        <f t="shared" si="1"/>
        <v>540</v>
      </c>
      <c r="I74" s="61"/>
      <c r="J74" s="6"/>
    </row>
    <row r="75">
      <c r="E75" s="86" t="s">
        <v>122</v>
      </c>
      <c r="F75" s="86">
        <v>9.0</v>
      </c>
      <c r="G75" s="87">
        <v>450.0</v>
      </c>
      <c r="H75" s="88">
        <f t="shared" si="1"/>
        <v>4050</v>
      </c>
      <c r="I75" s="92"/>
      <c r="J75" s="6"/>
    </row>
    <row r="76">
      <c r="E76" s="86" t="s">
        <v>122</v>
      </c>
      <c r="F76" s="86">
        <v>8.0</v>
      </c>
      <c r="G76" s="87">
        <v>450.0</v>
      </c>
      <c r="H76" s="88">
        <f t="shared" si="1"/>
        <v>3600</v>
      </c>
      <c r="I76" s="93">
        <v>45722.0</v>
      </c>
      <c r="J76" s="6"/>
    </row>
    <row r="77">
      <c r="E77" s="86" t="s">
        <v>115</v>
      </c>
      <c r="F77" s="86">
        <v>6.0</v>
      </c>
      <c r="G77" s="87">
        <v>700.0</v>
      </c>
      <c r="H77" s="88">
        <f t="shared" si="1"/>
        <v>4200</v>
      </c>
      <c r="I77" s="61"/>
      <c r="J77" s="6"/>
    </row>
    <row r="78">
      <c r="E78" s="86" t="s">
        <v>123</v>
      </c>
      <c r="F78" s="86">
        <v>4.0</v>
      </c>
      <c r="G78" s="87">
        <v>70.0</v>
      </c>
      <c r="H78" s="88">
        <f t="shared" si="1"/>
        <v>280</v>
      </c>
      <c r="I78" s="61"/>
      <c r="J78" s="6"/>
    </row>
    <row r="79">
      <c r="E79" s="86" t="s">
        <v>124</v>
      </c>
      <c r="F79" s="86">
        <v>1.0</v>
      </c>
      <c r="G79" s="87">
        <v>1090.0</v>
      </c>
      <c r="H79" s="88">
        <f t="shared" si="1"/>
        <v>1090</v>
      </c>
      <c r="I79" s="61"/>
      <c r="J79" s="6"/>
    </row>
    <row r="80">
      <c r="E80" s="86" t="s">
        <v>125</v>
      </c>
      <c r="F80" s="86">
        <v>1.0</v>
      </c>
      <c r="G80" s="87">
        <v>220.0</v>
      </c>
      <c r="H80" s="88">
        <f t="shared" si="1"/>
        <v>220</v>
      </c>
      <c r="I80" s="61"/>
      <c r="J80" s="6"/>
    </row>
    <row r="81">
      <c r="E81" s="86" t="s">
        <v>116</v>
      </c>
      <c r="F81" s="86">
        <v>8.0</v>
      </c>
      <c r="G81" s="87">
        <v>100.0</v>
      </c>
      <c r="H81" s="88">
        <f t="shared" si="1"/>
        <v>800</v>
      </c>
      <c r="I81" s="61"/>
      <c r="J81" s="6"/>
    </row>
    <row r="82">
      <c r="E82" s="86" t="s">
        <v>126</v>
      </c>
      <c r="F82" s="86">
        <v>1.0</v>
      </c>
      <c r="G82" s="87">
        <v>480.0</v>
      </c>
      <c r="H82" s="88">
        <f t="shared" si="1"/>
        <v>480</v>
      </c>
      <c r="I82" s="61"/>
      <c r="J82" s="6"/>
    </row>
    <row r="83">
      <c r="E83" s="86" t="s">
        <v>127</v>
      </c>
      <c r="F83" s="86">
        <v>1.0</v>
      </c>
      <c r="G83" s="87">
        <v>420.0</v>
      </c>
      <c r="H83" s="88">
        <f t="shared" si="1"/>
        <v>420</v>
      </c>
      <c r="I83" s="61"/>
      <c r="J83" s="6"/>
    </row>
    <row r="84">
      <c r="E84" s="86" t="s">
        <v>128</v>
      </c>
      <c r="F84" s="86">
        <v>15.0</v>
      </c>
      <c r="G84" s="87">
        <v>100.0</v>
      </c>
      <c r="H84" s="88">
        <f t="shared" si="1"/>
        <v>1500</v>
      </c>
      <c r="I84" s="61"/>
      <c r="J84" s="6"/>
    </row>
    <row r="85">
      <c r="E85" s="86" t="s">
        <v>115</v>
      </c>
      <c r="F85" s="86">
        <v>6.0</v>
      </c>
      <c r="G85" s="87">
        <v>700.0</v>
      </c>
      <c r="H85" s="88">
        <f t="shared" si="1"/>
        <v>4200</v>
      </c>
      <c r="I85" s="61"/>
      <c r="J85" s="6"/>
    </row>
    <row r="86">
      <c r="E86" s="86" t="s">
        <v>129</v>
      </c>
      <c r="F86" s="86">
        <v>2.0</v>
      </c>
      <c r="G86" s="87">
        <v>120.0</v>
      </c>
      <c r="H86" s="88">
        <f t="shared" si="1"/>
        <v>240</v>
      </c>
      <c r="I86" s="61"/>
      <c r="J86" s="6"/>
    </row>
    <row r="87">
      <c r="E87" s="86" t="s">
        <v>118</v>
      </c>
      <c r="F87" s="86">
        <v>2.0</v>
      </c>
      <c r="G87" s="87">
        <v>600.0</v>
      </c>
      <c r="H87" s="88">
        <f t="shared" si="1"/>
        <v>1200</v>
      </c>
      <c r="I87" s="61"/>
      <c r="J87" s="6"/>
    </row>
    <row r="88">
      <c r="E88" s="86" t="s">
        <v>130</v>
      </c>
      <c r="F88" s="86">
        <v>3.0</v>
      </c>
      <c r="G88" s="87">
        <v>150.0</v>
      </c>
      <c r="H88" s="88">
        <f t="shared" si="1"/>
        <v>450</v>
      </c>
      <c r="I88" s="61"/>
      <c r="J88" s="6"/>
    </row>
    <row r="89">
      <c r="E89" s="86" t="s">
        <v>131</v>
      </c>
      <c r="F89" s="86">
        <v>1.0</v>
      </c>
      <c r="G89" s="87">
        <v>800.0</v>
      </c>
      <c r="H89" s="88">
        <f t="shared" si="1"/>
        <v>800</v>
      </c>
      <c r="I89" s="61"/>
      <c r="J89" s="6"/>
    </row>
    <row r="90">
      <c r="E90" s="86" t="s">
        <v>90</v>
      </c>
      <c r="F90" s="86">
        <v>1.0</v>
      </c>
      <c r="G90" s="87">
        <v>320.0</v>
      </c>
      <c r="H90" s="88">
        <f t="shared" si="1"/>
        <v>320</v>
      </c>
      <c r="I90" s="61"/>
      <c r="J90" s="6"/>
    </row>
    <row r="91">
      <c r="E91" s="86" t="s">
        <v>97</v>
      </c>
      <c r="F91" s="86">
        <v>2.0</v>
      </c>
      <c r="G91" s="87">
        <v>320.0</v>
      </c>
      <c r="H91" s="88">
        <f t="shared" si="1"/>
        <v>640</v>
      </c>
      <c r="I91" s="61"/>
      <c r="J91" s="6"/>
    </row>
    <row r="92">
      <c r="E92" s="86" t="s">
        <v>132</v>
      </c>
      <c r="F92" s="86">
        <v>14.0</v>
      </c>
      <c r="G92" s="87">
        <v>200.0</v>
      </c>
      <c r="H92" s="88">
        <f t="shared" si="1"/>
        <v>2800</v>
      </c>
      <c r="I92" s="61"/>
      <c r="J92" s="6"/>
    </row>
    <row r="93">
      <c r="E93" s="86" t="s">
        <v>133</v>
      </c>
      <c r="F93" s="86">
        <v>2.0</v>
      </c>
      <c r="G93" s="87">
        <v>250.0</v>
      </c>
      <c r="H93" s="88">
        <f t="shared" si="1"/>
        <v>500</v>
      </c>
      <c r="I93" s="61"/>
      <c r="J93" s="6"/>
    </row>
    <row r="94">
      <c r="E94" s="86" t="s">
        <v>134</v>
      </c>
      <c r="F94" s="86">
        <v>1.0</v>
      </c>
      <c r="G94" s="87">
        <v>1000.0</v>
      </c>
      <c r="H94" s="88">
        <f t="shared" si="1"/>
        <v>1000</v>
      </c>
      <c r="I94" s="61"/>
      <c r="J94" s="6"/>
    </row>
    <row r="95">
      <c r="E95" s="86" t="s">
        <v>135</v>
      </c>
      <c r="F95" s="86">
        <v>1.0</v>
      </c>
      <c r="G95" s="87">
        <v>270.0</v>
      </c>
      <c r="H95" s="88">
        <f t="shared" si="1"/>
        <v>270</v>
      </c>
      <c r="I95" s="61"/>
      <c r="J95" s="6"/>
    </row>
    <row r="96">
      <c r="E96" s="86" t="s">
        <v>134</v>
      </c>
      <c r="F96" s="86">
        <v>1.0</v>
      </c>
      <c r="G96" s="87">
        <v>400.0</v>
      </c>
      <c r="H96" s="88">
        <f t="shared" si="1"/>
        <v>400</v>
      </c>
      <c r="I96" s="61"/>
      <c r="J96" s="6"/>
    </row>
    <row r="97">
      <c r="E97" s="86" t="s">
        <v>134</v>
      </c>
      <c r="F97" s="86">
        <v>1.0</v>
      </c>
      <c r="G97" s="87">
        <v>900.0</v>
      </c>
      <c r="H97" s="88">
        <f t="shared" si="1"/>
        <v>900</v>
      </c>
      <c r="I97" s="61"/>
      <c r="J97" s="6"/>
    </row>
    <row r="98">
      <c r="E98" s="86" t="s">
        <v>120</v>
      </c>
      <c r="F98" s="86">
        <v>14.0</v>
      </c>
      <c r="G98" s="87">
        <v>400.0</v>
      </c>
      <c r="H98" s="88">
        <f t="shared" si="1"/>
        <v>5600</v>
      </c>
      <c r="I98" s="61"/>
      <c r="J98" s="6"/>
    </row>
    <row r="99">
      <c r="E99" s="86" t="s">
        <v>136</v>
      </c>
      <c r="F99" s="86">
        <v>1.0</v>
      </c>
      <c r="G99" s="87">
        <v>200.0</v>
      </c>
      <c r="H99" s="88">
        <f t="shared" si="1"/>
        <v>200</v>
      </c>
      <c r="I99" s="61"/>
      <c r="J99" s="6"/>
    </row>
    <row r="100">
      <c r="E100" s="86" t="s">
        <v>137</v>
      </c>
      <c r="F100" s="86">
        <v>1.0</v>
      </c>
      <c r="G100" s="87">
        <v>180.0</v>
      </c>
      <c r="H100" s="88">
        <f t="shared" si="1"/>
        <v>180</v>
      </c>
      <c r="I100" s="61"/>
      <c r="J100" s="6"/>
    </row>
    <row r="101">
      <c r="E101" s="86" t="s">
        <v>138</v>
      </c>
      <c r="F101" s="86">
        <v>2.0</v>
      </c>
      <c r="G101" s="87">
        <v>800.0</v>
      </c>
      <c r="H101" s="88">
        <f t="shared" si="1"/>
        <v>1600</v>
      </c>
      <c r="I101" s="61"/>
      <c r="J101" s="6"/>
    </row>
    <row r="102">
      <c r="E102" s="86" t="s">
        <v>128</v>
      </c>
      <c r="F102" s="86">
        <v>25.0</v>
      </c>
      <c r="G102" s="87">
        <v>100.0</v>
      </c>
      <c r="H102" s="88">
        <f t="shared" si="1"/>
        <v>2500</v>
      </c>
      <c r="I102" s="10">
        <v>45723.0</v>
      </c>
      <c r="J102" s="6"/>
    </row>
    <row r="103">
      <c r="E103" s="86" t="s">
        <v>139</v>
      </c>
      <c r="F103" s="86">
        <v>2.0</v>
      </c>
      <c r="G103" s="87">
        <v>850.0</v>
      </c>
      <c r="H103" s="88">
        <f t="shared" si="1"/>
        <v>1700</v>
      </c>
      <c r="I103" s="76"/>
      <c r="J103" s="6"/>
    </row>
    <row r="104">
      <c r="E104" s="86" t="s">
        <v>140</v>
      </c>
      <c r="F104" s="86">
        <v>1.0</v>
      </c>
      <c r="G104" s="87">
        <v>300.0</v>
      </c>
      <c r="H104" s="88">
        <f t="shared" si="1"/>
        <v>300</v>
      </c>
      <c r="I104" s="76"/>
      <c r="J104" s="6"/>
    </row>
    <row r="105">
      <c r="E105" s="86" t="s">
        <v>141</v>
      </c>
      <c r="F105" s="86">
        <v>3.0</v>
      </c>
      <c r="G105" s="87">
        <v>500.0</v>
      </c>
      <c r="H105" s="88">
        <f t="shared" si="1"/>
        <v>1500</v>
      </c>
      <c r="I105" s="76"/>
      <c r="J105" s="6"/>
    </row>
    <row r="106">
      <c r="E106" s="86" t="s">
        <v>142</v>
      </c>
      <c r="F106" s="86">
        <v>2.0</v>
      </c>
      <c r="G106" s="87">
        <v>500.0</v>
      </c>
      <c r="H106" s="88">
        <f t="shared" si="1"/>
        <v>1000</v>
      </c>
      <c r="I106" s="76"/>
      <c r="J106" s="6"/>
    </row>
    <row r="107">
      <c r="E107" s="86" t="s">
        <v>117</v>
      </c>
      <c r="F107" s="86">
        <v>4.0</v>
      </c>
      <c r="G107" s="87">
        <v>250.0</v>
      </c>
      <c r="H107" s="88">
        <f t="shared" si="1"/>
        <v>1000</v>
      </c>
      <c r="I107" s="76"/>
      <c r="J107" s="6"/>
    </row>
    <row r="108">
      <c r="E108" s="86" t="s">
        <v>116</v>
      </c>
      <c r="F108" s="86">
        <v>1.0</v>
      </c>
      <c r="G108" s="87">
        <v>100.0</v>
      </c>
      <c r="H108" s="88">
        <f t="shared" si="1"/>
        <v>100</v>
      </c>
      <c r="I108" s="76"/>
      <c r="J108" s="6"/>
    </row>
    <row r="109">
      <c r="E109" s="86" t="s">
        <v>122</v>
      </c>
      <c r="F109" s="86">
        <v>4.0</v>
      </c>
      <c r="G109" s="87">
        <v>450.0</v>
      </c>
      <c r="H109" s="88">
        <f t="shared" si="1"/>
        <v>1800</v>
      </c>
      <c r="I109" s="76"/>
      <c r="J109" s="6"/>
    </row>
    <row r="110">
      <c r="E110" s="86" t="s">
        <v>143</v>
      </c>
      <c r="F110" s="86">
        <v>6.0</v>
      </c>
      <c r="G110" s="87">
        <v>750.0</v>
      </c>
      <c r="H110" s="88">
        <f t="shared" si="1"/>
        <v>4500</v>
      </c>
      <c r="I110" s="76"/>
      <c r="J110" s="6"/>
    </row>
    <row r="111">
      <c r="E111" s="86" t="s">
        <v>144</v>
      </c>
      <c r="F111" s="86">
        <v>1.0</v>
      </c>
      <c r="G111" s="87">
        <v>1200.0</v>
      </c>
      <c r="H111" s="88">
        <f t="shared" si="1"/>
        <v>1200</v>
      </c>
      <c r="I111" s="76"/>
      <c r="J111" s="6"/>
    </row>
    <row r="112">
      <c r="E112" s="86" t="s">
        <v>145</v>
      </c>
      <c r="F112" s="86">
        <v>6.0</v>
      </c>
      <c r="G112" s="87">
        <v>150.0</v>
      </c>
      <c r="H112" s="88">
        <f t="shared" si="1"/>
        <v>900</v>
      </c>
      <c r="I112" s="10">
        <v>45724.0</v>
      </c>
      <c r="J112" s="6"/>
    </row>
    <row r="113">
      <c r="E113" s="86" t="s">
        <v>146</v>
      </c>
      <c r="F113" s="86">
        <v>4.0</v>
      </c>
      <c r="G113" s="87">
        <v>100.0</v>
      </c>
      <c r="H113" s="88">
        <f t="shared" si="1"/>
        <v>400</v>
      </c>
      <c r="I113" s="76"/>
      <c r="J113" s="6"/>
    </row>
    <row r="114">
      <c r="E114" s="86" t="s">
        <v>118</v>
      </c>
      <c r="F114" s="86">
        <v>1.0</v>
      </c>
      <c r="G114" s="87">
        <v>600.0</v>
      </c>
      <c r="H114" s="88">
        <f t="shared" si="1"/>
        <v>600</v>
      </c>
      <c r="I114" s="76"/>
      <c r="J114" s="6"/>
    </row>
    <row r="115">
      <c r="E115" s="86" t="s">
        <v>147</v>
      </c>
      <c r="F115" s="86">
        <v>1.0</v>
      </c>
      <c r="G115" s="87">
        <v>600.0</v>
      </c>
      <c r="H115" s="88">
        <f t="shared" si="1"/>
        <v>600</v>
      </c>
      <c r="I115" s="76"/>
      <c r="J115" s="6"/>
    </row>
    <row r="116">
      <c r="E116" s="86" t="s">
        <v>148</v>
      </c>
      <c r="F116" s="86">
        <v>0.5</v>
      </c>
      <c r="G116" s="87">
        <v>4000.0</v>
      </c>
      <c r="H116" s="88">
        <f t="shared" si="1"/>
        <v>2000</v>
      </c>
      <c r="I116" s="76"/>
      <c r="J116" s="6"/>
    </row>
    <row r="117">
      <c r="E117" s="86" t="s">
        <v>149</v>
      </c>
      <c r="F117" s="86">
        <v>1.0</v>
      </c>
      <c r="G117" s="87">
        <v>2000.0</v>
      </c>
      <c r="H117" s="88">
        <f t="shared" si="1"/>
        <v>2000</v>
      </c>
      <c r="I117" s="76"/>
      <c r="J117" s="6"/>
    </row>
    <row r="118">
      <c r="E118" s="86" t="s">
        <v>150</v>
      </c>
      <c r="F118" s="86">
        <v>1.0</v>
      </c>
      <c r="G118" s="87">
        <v>1500.0</v>
      </c>
      <c r="H118" s="88">
        <f t="shared" si="1"/>
        <v>1500</v>
      </c>
      <c r="I118" s="76"/>
      <c r="J118" s="6"/>
    </row>
    <row r="119">
      <c r="E119" s="86" t="s">
        <v>115</v>
      </c>
      <c r="F119" s="86">
        <v>6.0</v>
      </c>
      <c r="G119" s="87">
        <v>700.0</v>
      </c>
      <c r="H119" s="88">
        <f t="shared" si="1"/>
        <v>4200</v>
      </c>
      <c r="I119" s="10">
        <v>45725.0</v>
      </c>
      <c r="J119" s="6"/>
    </row>
    <row r="120">
      <c r="E120" s="86" t="s">
        <v>151</v>
      </c>
      <c r="F120" s="86">
        <v>4.0</v>
      </c>
      <c r="G120" s="87">
        <v>600.0</v>
      </c>
      <c r="H120" s="88">
        <f t="shared" si="1"/>
        <v>2400</v>
      </c>
      <c r="I120" s="76"/>
      <c r="J120" s="6"/>
    </row>
    <row r="121">
      <c r="E121" s="86" t="s">
        <v>128</v>
      </c>
      <c r="F121" s="86">
        <v>40.0</v>
      </c>
      <c r="G121" s="87">
        <v>100.0</v>
      </c>
      <c r="H121" s="88">
        <f t="shared" si="1"/>
        <v>4000</v>
      </c>
      <c r="I121" s="76"/>
      <c r="J121" s="6"/>
    </row>
    <row r="122">
      <c r="E122" s="86" t="s">
        <v>144</v>
      </c>
      <c r="F122" s="86">
        <v>1.0</v>
      </c>
      <c r="G122" s="87">
        <v>1200.0</v>
      </c>
      <c r="H122" s="88">
        <f t="shared" si="1"/>
        <v>1200</v>
      </c>
      <c r="I122" s="61"/>
      <c r="J122" s="6"/>
    </row>
    <row r="123">
      <c r="E123" s="86" t="s">
        <v>112</v>
      </c>
      <c r="F123" s="86">
        <v>20.0</v>
      </c>
      <c r="G123" s="87">
        <v>70.0</v>
      </c>
      <c r="H123" s="88">
        <f t="shared" si="1"/>
        <v>1400</v>
      </c>
      <c r="I123" s="61"/>
      <c r="J123" s="6"/>
    </row>
    <row r="124">
      <c r="E124" s="86" t="s">
        <v>152</v>
      </c>
      <c r="F124" s="86">
        <v>1.0</v>
      </c>
      <c r="G124" s="87">
        <v>1200.0</v>
      </c>
      <c r="H124" s="88">
        <f t="shared" si="1"/>
        <v>1200</v>
      </c>
      <c r="I124" s="61"/>
      <c r="J124" s="6"/>
    </row>
    <row r="125">
      <c r="E125" s="86" t="s">
        <v>153</v>
      </c>
      <c r="F125" s="86">
        <v>1.0</v>
      </c>
      <c r="G125" s="87">
        <v>150.0</v>
      </c>
      <c r="H125" s="88">
        <f t="shared" si="1"/>
        <v>150</v>
      </c>
      <c r="I125" s="61"/>
      <c r="J125" s="6"/>
    </row>
    <row r="126">
      <c r="E126" s="86" t="s">
        <v>122</v>
      </c>
      <c r="F126" s="86">
        <v>4.0</v>
      </c>
      <c r="G126" s="87">
        <v>450.0</v>
      </c>
      <c r="H126" s="88">
        <f t="shared" si="1"/>
        <v>1800</v>
      </c>
      <c r="I126" s="61"/>
      <c r="J126" s="6"/>
    </row>
    <row r="127">
      <c r="E127" s="86" t="s">
        <v>154</v>
      </c>
      <c r="F127" s="86">
        <v>1.0</v>
      </c>
      <c r="G127" s="87">
        <v>350.0</v>
      </c>
      <c r="H127" s="88">
        <f t="shared" si="1"/>
        <v>350</v>
      </c>
      <c r="I127" s="61"/>
      <c r="J127" s="6"/>
    </row>
    <row r="128">
      <c r="E128" s="86" t="s">
        <v>155</v>
      </c>
      <c r="F128" s="86">
        <v>2.0</v>
      </c>
      <c r="G128" s="87">
        <v>650.0</v>
      </c>
      <c r="H128" s="88">
        <f t="shared" si="1"/>
        <v>1300</v>
      </c>
      <c r="I128" s="92"/>
      <c r="J128" s="6"/>
    </row>
    <row r="129">
      <c r="E129" s="86" t="s">
        <v>156</v>
      </c>
      <c r="F129" s="86">
        <v>1.0</v>
      </c>
      <c r="G129" s="87">
        <v>350.0</v>
      </c>
      <c r="H129" s="88">
        <f t="shared" si="1"/>
        <v>350</v>
      </c>
      <c r="I129" s="61"/>
      <c r="J129" s="6"/>
    </row>
    <row r="130">
      <c r="E130" s="86" t="s">
        <v>123</v>
      </c>
      <c r="F130" s="86">
        <v>20.0</v>
      </c>
      <c r="G130" s="87">
        <v>50.0</v>
      </c>
      <c r="H130" s="88">
        <f t="shared" si="1"/>
        <v>1000</v>
      </c>
      <c r="I130" s="94">
        <v>45726.0</v>
      </c>
      <c r="J130" s="6"/>
    </row>
    <row r="131">
      <c r="E131" s="86" t="s">
        <v>128</v>
      </c>
      <c r="F131" s="86">
        <v>20.0</v>
      </c>
      <c r="G131" s="87">
        <v>100.0</v>
      </c>
      <c r="H131" s="88">
        <f t="shared" si="1"/>
        <v>2000</v>
      </c>
      <c r="I131" s="61"/>
      <c r="J131" s="6"/>
    </row>
    <row r="132">
      <c r="E132" s="86" t="s">
        <v>133</v>
      </c>
      <c r="F132" s="86">
        <v>2.0</v>
      </c>
      <c r="G132" s="87">
        <v>100.0</v>
      </c>
      <c r="H132" s="88">
        <f t="shared" si="1"/>
        <v>200</v>
      </c>
      <c r="I132" s="61"/>
      <c r="J132" s="6"/>
    </row>
    <row r="133">
      <c r="E133" s="86" t="s">
        <v>157</v>
      </c>
      <c r="F133" s="86">
        <v>0.5</v>
      </c>
      <c r="G133" s="87">
        <v>2600.0</v>
      </c>
      <c r="H133" s="88">
        <f t="shared" si="1"/>
        <v>1300</v>
      </c>
      <c r="I133" s="61"/>
      <c r="J133" s="6"/>
    </row>
    <row r="134">
      <c r="E134" s="86" t="s">
        <v>124</v>
      </c>
      <c r="F134" s="86">
        <v>1.0</v>
      </c>
      <c r="G134" s="87">
        <v>1320.0</v>
      </c>
      <c r="H134" s="88">
        <f t="shared" si="1"/>
        <v>1320</v>
      </c>
      <c r="I134" s="92"/>
      <c r="J134" s="6"/>
    </row>
    <row r="135">
      <c r="E135" s="86" t="s">
        <v>118</v>
      </c>
      <c r="F135" s="86">
        <v>1.0</v>
      </c>
      <c r="G135" s="87">
        <v>650.0</v>
      </c>
      <c r="H135" s="88">
        <f t="shared" si="1"/>
        <v>650</v>
      </c>
      <c r="I135" s="61"/>
      <c r="J135" s="6"/>
    </row>
    <row r="136">
      <c r="E136" s="86" t="s">
        <v>158</v>
      </c>
      <c r="F136" s="86">
        <v>1.0</v>
      </c>
      <c r="G136" s="87">
        <v>150.0</v>
      </c>
      <c r="H136" s="88">
        <f t="shared" si="1"/>
        <v>150</v>
      </c>
      <c r="I136" s="61"/>
      <c r="J136" s="6"/>
    </row>
    <row r="137">
      <c r="E137" s="86" t="s">
        <v>159</v>
      </c>
      <c r="F137" s="86">
        <v>1.0</v>
      </c>
      <c r="G137" s="87">
        <v>300.0</v>
      </c>
      <c r="H137" s="88">
        <f t="shared" si="1"/>
        <v>300</v>
      </c>
      <c r="I137" s="61"/>
      <c r="J137" s="6"/>
    </row>
    <row r="138">
      <c r="E138" s="86" t="s">
        <v>160</v>
      </c>
      <c r="F138" s="86">
        <v>1.0</v>
      </c>
      <c r="G138" s="87">
        <v>200.0</v>
      </c>
      <c r="H138" s="88">
        <f t="shared" si="1"/>
        <v>200</v>
      </c>
      <c r="I138" s="61"/>
      <c r="J138" s="6"/>
    </row>
    <row r="139">
      <c r="E139" s="86" t="s">
        <v>161</v>
      </c>
      <c r="F139" s="86">
        <v>1.0</v>
      </c>
      <c r="G139" s="87">
        <v>200.0</v>
      </c>
      <c r="H139" s="88">
        <f t="shared" si="1"/>
        <v>200</v>
      </c>
      <c r="I139" s="61"/>
      <c r="J139" s="6"/>
    </row>
    <row r="140">
      <c r="E140" s="86" t="s">
        <v>162</v>
      </c>
      <c r="F140" s="86">
        <v>1.0</v>
      </c>
      <c r="G140" s="87">
        <v>500.0</v>
      </c>
      <c r="H140" s="88">
        <f t="shared" si="1"/>
        <v>500</v>
      </c>
      <c r="I140" s="61"/>
      <c r="J140" s="6"/>
    </row>
    <row r="141">
      <c r="E141" s="86" t="s">
        <v>163</v>
      </c>
      <c r="F141" s="86">
        <v>3.0</v>
      </c>
      <c r="G141" s="87">
        <v>200.0</v>
      </c>
      <c r="H141" s="88">
        <f t="shared" si="1"/>
        <v>600</v>
      </c>
      <c r="I141" s="61"/>
      <c r="J141" s="6"/>
    </row>
    <row r="142">
      <c r="E142" s="86" t="s">
        <v>164</v>
      </c>
      <c r="F142" s="86">
        <v>2.0</v>
      </c>
      <c r="G142" s="87">
        <v>250.0</v>
      </c>
      <c r="H142" s="88">
        <f t="shared" si="1"/>
        <v>500</v>
      </c>
      <c r="I142" s="61"/>
      <c r="J142" s="6"/>
    </row>
    <row r="143">
      <c r="E143" s="86" t="s">
        <v>165</v>
      </c>
      <c r="F143" s="86">
        <v>1.0</v>
      </c>
      <c r="G143" s="87">
        <v>1000.0</v>
      </c>
      <c r="H143" s="88">
        <f t="shared" si="1"/>
        <v>1000</v>
      </c>
      <c r="I143" s="61"/>
      <c r="J143" s="6"/>
    </row>
    <row r="144">
      <c r="E144" s="86" t="s">
        <v>162</v>
      </c>
      <c r="F144" s="86">
        <v>1.0</v>
      </c>
      <c r="G144" s="87">
        <v>270.0</v>
      </c>
      <c r="H144" s="88">
        <f t="shared" si="1"/>
        <v>270</v>
      </c>
      <c r="I144" s="61"/>
      <c r="J144" s="6"/>
    </row>
    <row r="145">
      <c r="E145" s="86" t="s">
        <v>165</v>
      </c>
      <c r="F145" s="86">
        <v>1.5</v>
      </c>
      <c r="G145" s="87">
        <v>1000.0</v>
      </c>
      <c r="H145" s="88">
        <f t="shared" si="1"/>
        <v>1500</v>
      </c>
      <c r="I145" s="61"/>
      <c r="J145" s="6"/>
    </row>
    <row r="146">
      <c r="E146" s="86" t="s">
        <v>166</v>
      </c>
      <c r="F146" s="86">
        <v>5.0</v>
      </c>
      <c r="G146" s="87">
        <v>120.0</v>
      </c>
      <c r="H146" s="88">
        <f t="shared" si="1"/>
        <v>600</v>
      </c>
      <c r="I146" s="61"/>
      <c r="J146" s="6"/>
    </row>
    <row r="147">
      <c r="E147" s="86" t="s">
        <v>167</v>
      </c>
      <c r="F147" s="86">
        <v>1.0</v>
      </c>
      <c r="G147" s="87">
        <v>550.0</v>
      </c>
      <c r="H147" s="88">
        <f t="shared" si="1"/>
        <v>550</v>
      </c>
      <c r="I147" s="61"/>
      <c r="J147" s="6"/>
    </row>
    <row r="148">
      <c r="E148" s="86" t="s">
        <v>127</v>
      </c>
      <c r="F148" s="86">
        <v>1.0</v>
      </c>
      <c r="G148" s="87">
        <v>480.0</v>
      </c>
      <c r="H148" s="88">
        <f t="shared" si="1"/>
        <v>480</v>
      </c>
      <c r="I148" s="61"/>
      <c r="J148" s="6"/>
    </row>
    <row r="149">
      <c r="E149" s="86" t="s">
        <v>168</v>
      </c>
      <c r="F149" s="86">
        <v>1.0</v>
      </c>
      <c r="G149" s="87">
        <v>100.0</v>
      </c>
      <c r="H149" s="88">
        <f t="shared" si="1"/>
        <v>100</v>
      </c>
      <c r="I149" s="61"/>
      <c r="J149" s="6"/>
    </row>
    <row r="150">
      <c r="E150" s="86" t="s">
        <v>169</v>
      </c>
      <c r="F150" s="86">
        <v>1.0</v>
      </c>
      <c r="G150" s="87">
        <v>220.0</v>
      </c>
      <c r="H150" s="88">
        <f t="shared" si="1"/>
        <v>220</v>
      </c>
      <c r="I150" s="61"/>
      <c r="J150" s="6"/>
    </row>
    <row r="151">
      <c r="E151" s="86" t="s">
        <v>170</v>
      </c>
      <c r="F151" s="86">
        <v>1.0</v>
      </c>
      <c r="G151" s="87">
        <v>250.0</v>
      </c>
      <c r="H151" s="88">
        <f>SUM(H134:H150)</f>
        <v>9140</v>
      </c>
      <c r="I151" s="61"/>
      <c r="J151" s="6"/>
    </row>
    <row r="152">
      <c r="E152" s="86" t="s">
        <v>171</v>
      </c>
      <c r="F152" s="86">
        <v>1.0</v>
      </c>
      <c r="G152" s="87">
        <v>250.0</v>
      </c>
      <c r="H152" s="88">
        <f t="shared" ref="H152:H361" si="2">F152*G152</f>
        <v>250</v>
      </c>
      <c r="I152" s="61"/>
      <c r="J152" s="6"/>
    </row>
    <row r="153">
      <c r="E153" s="86" t="s">
        <v>172</v>
      </c>
      <c r="F153" s="86">
        <v>0.0</v>
      </c>
      <c r="G153" s="87">
        <v>100.0</v>
      </c>
      <c r="H153" s="88">
        <f t="shared" si="2"/>
        <v>0</v>
      </c>
      <c r="I153" s="61"/>
      <c r="J153" s="6"/>
    </row>
    <row r="154">
      <c r="E154" s="86" t="s">
        <v>173</v>
      </c>
      <c r="F154" s="86">
        <v>1.0</v>
      </c>
      <c r="G154" s="87">
        <v>50.0</v>
      </c>
      <c r="H154" s="88">
        <f t="shared" si="2"/>
        <v>50</v>
      </c>
      <c r="I154" s="61"/>
      <c r="J154" s="6"/>
    </row>
    <row r="155">
      <c r="E155" s="86" t="s">
        <v>174</v>
      </c>
      <c r="F155" s="86">
        <v>1.0</v>
      </c>
      <c r="G155" s="87">
        <v>150.0</v>
      </c>
      <c r="H155" s="88">
        <f t="shared" si="2"/>
        <v>150</v>
      </c>
      <c r="I155" s="61"/>
      <c r="J155" s="6"/>
    </row>
    <row r="156">
      <c r="E156" s="86" t="s">
        <v>104</v>
      </c>
      <c r="F156" s="86">
        <v>12.0</v>
      </c>
      <c r="G156" s="87">
        <v>425.0</v>
      </c>
      <c r="H156" s="88">
        <f t="shared" si="2"/>
        <v>5100</v>
      </c>
      <c r="I156" s="61"/>
      <c r="J156" s="6"/>
    </row>
    <row r="157">
      <c r="E157" s="86" t="s">
        <v>175</v>
      </c>
      <c r="F157" s="86">
        <v>3.0</v>
      </c>
      <c r="G157" s="87">
        <v>950.0</v>
      </c>
      <c r="H157" s="88">
        <f t="shared" si="2"/>
        <v>2850</v>
      </c>
      <c r="I157" s="61"/>
      <c r="J157" s="6"/>
    </row>
    <row r="158">
      <c r="E158" s="86" t="s">
        <v>176</v>
      </c>
      <c r="F158" s="86">
        <v>2.0</v>
      </c>
      <c r="G158" s="87">
        <v>1900.0</v>
      </c>
      <c r="H158" s="88">
        <f t="shared" si="2"/>
        <v>3800</v>
      </c>
      <c r="I158" s="61"/>
      <c r="J158" s="6"/>
    </row>
    <row r="159">
      <c r="E159" s="86" t="s">
        <v>83</v>
      </c>
      <c r="F159" s="86">
        <v>3.8</v>
      </c>
      <c r="G159" s="87">
        <v>1750.0</v>
      </c>
      <c r="H159" s="88">
        <f t="shared" si="2"/>
        <v>6650</v>
      </c>
      <c r="I159" s="61"/>
      <c r="J159" s="6"/>
    </row>
    <row r="160">
      <c r="E160" s="86" t="s">
        <v>97</v>
      </c>
      <c r="F160" s="86">
        <v>12.0</v>
      </c>
      <c r="G160" s="87">
        <v>330.0</v>
      </c>
      <c r="H160" s="88">
        <f t="shared" si="2"/>
        <v>3960</v>
      </c>
      <c r="I160" s="61"/>
      <c r="J160" s="6"/>
    </row>
    <row r="161">
      <c r="E161" s="86" t="s">
        <v>177</v>
      </c>
      <c r="F161" s="86">
        <v>1.0</v>
      </c>
      <c r="G161" s="87">
        <v>330.0</v>
      </c>
      <c r="H161" s="88">
        <f t="shared" si="2"/>
        <v>330</v>
      </c>
      <c r="I161" s="61"/>
      <c r="J161" s="6"/>
    </row>
    <row r="162">
      <c r="E162" s="86" t="s">
        <v>178</v>
      </c>
      <c r="F162" s="86">
        <v>1.0</v>
      </c>
      <c r="G162" s="87">
        <v>300.0</v>
      </c>
      <c r="H162" s="88">
        <f t="shared" si="2"/>
        <v>300</v>
      </c>
      <c r="I162" s="61"/>
      <c r="J162" s="6"/>
    </row>
    <row r="163">
      <c r="E163" s="95" t="s">
        <v>179</v>
      </c>
      <c r="F163" s="95">
        <v>1.0</v>
      </c>
      <c r="G163" s="96">
        <v>11550.0</v>
      </c>
      <c r="H163" s="97">
        <f t="shared" si="2"/>
        <v>11550</v>
      </c>
      <c r="I163" s="98">
        <v>45727.0</v>
      </c>
      <c r="J163" s="6"/>
    </row>
    <row r="164">
      <c r="E164" s="86" t="s">
        <v>146</v>
      </c>
      <c r="F164" s="86">
        <v>10.0</v>
      </c>
      <c r="G164" s="87">
        <v>100.0</v>
      </c>
      <c r="H164" s="88">
        <f t="shared" si="2"/>
        <v>1000</v>
      </c>
      <c r="I164" s="61"/>
      <c r="J164" s="6"/>
    </row>
    <row r="165">
      <c r="E165" s="86" t="s">
        <v>180</v>
      </c>
      <c r="F165" s="86">
        <v>4.0</v>
      </c>
      <c r="G165" s="87">
        <v>120.0</v>
      </c>
      <c r="H165" s="88">
        <f t="shared" si="2"/>
        <v>480</v>
      </c>
      <c r="I165" s="61"/>
      <c r="J165" s="6"/>
    </row>
    <row r="166">
      <c r="E166" s="86" t="s">
        <v>144</v>
      </c>
      <c r="F166" s="86">
        <v>2.0</v>
      </c>
      <c r="G166" s="87">
        <v>1200.0</v>
      </c>
      <c r="H166" s="88">
        <f t="shared" si="2"/>
        <v>2400</v>
      </c>
      <c r="I166" s="61"/>
      <c r="J166" s="6"/>
    </row>
    <row r="167">
      <c r="E167" s="86" t="s">
        <v>181</v>
      </c>
      <c r="F167" s="86">
        <v>2.0</v>
      </c>
      <c r="G167" s="87">
        <v>250.0</v>
      </c>
      <c r="H167" s="88">
        <f t="shared" si="2"/>
        <v>500</v>
      </c>
      <c r="I167" s="61"/>
      <c r="J167" s="6"/>
    </row>
    <row r="168">
      <c r="E168" s="86" t="s">
        <v>182</v>
      </c>
      <c r="F168" s="86">
        <v>0.3</v>
      </c>
      <c r="G168" s="87">
        <v>2600.0</v>
      </c>
      <c r="H168" s="88">
        <f t="shared" si="2"/>
        <v>780</v>
      </c>
      <c r="I168" s="61"/>
      <c r="J168" s="6"/>
    </row>
    <row r="169">
      <c r="E169" s="86" t="s">
        <v>115</v>
      </c>
      <c r="F169" s="86">
        <v>6.5</v>
      </c>
      <c r="G169" s="87">
        <v>700.0</v>
      </c>
      <c r="H169" s="88">
        <f t="shared" si="2"/>
        <v>4550</v>
      </c>
      <c r="I169" s="61"/>
      <c r="J169" s="6"/>
    </row>
    <row r="170">
      <c r="E170" s="86" t="s">
        <v>183</v>
      </c>
      <c r="F170" s="86">
        <v>1.0</v>
      </c>
      <c r="G170" s="87">
        <v>900.0</v>
      </c>
      <c r="H170" s="88">
        <f t="shared" si="2"/>
        <v>900</v>
      </c>
      <c r="I170" s="61"/>
      <c r="J170" s="6"/>
    </row>
    <row r="171">
      <c r="E171" s="86" t="s">
        <v>174</v>
      </c>
      <c r="F171" s="86">
        <v>5.0</v>
      </c>
      <c r="G171" s="87">
        <v>130.0</v>
      </c>
      <c r="H171" s="88">
        <f t="shared" si="2"/>
        <v>650</v>
      </c>
      <c r="I171" s="61"/>
      <c r="J171" s="6"/>
    </row>
    <row r="172">
      <c r="E172" s="86" t="s">
        <v>184</v>
      </c>
      <c r="F172" s="86">
        <v>0.5</v>
      </c>
      <c r="G172" s="87">
        <v>80.0</v>
      </c>
      <c r="H172" s="88">
        <f t="shared" si="2"/>
        <v>40</v>
      </c>
      <c r="I172" s="61"/>
      <c r="J172" s="6"/>
    </row>
    <row r="173">
      <c r="E173" s="86" t="s">
        <v>185</v>
      </c>
      <c r="F173" s="86">
        <v>0.5</v>
      </c>
      <c r="G173" s="87">
        <v>160.0</v>
      </c>
      <c r="H173" s="88">
        <f t="shared" si="2"/>
        <v>80</v>
      </c>
      <c r="I173" s="61"/>
      <c r="J173" s="6"/>
    </row>
    <row r="174">
      <c r="E174" s="86" t="s">
        <v>186</v>
      </c>
      <c r="F174" s="86">
        <v>2.0</v>
      </c>
      <c r="G174" s="87">
        <v>120.0</v>
      </c>
      <c r="H174" s="88">
        <f t="shared" si="2"/>
        <v>240</v>
      </c>
      <c r="I174" s="61"/>
      <c r="J174" s="6"/>
    </row>
    <row r="175">
      <c r="E175" s="86" t="s">
        <v>187</v>
      </c>
      <c r="F175" s="86">
        <v>2.0</v>
      </c>
      <c r="G175" s="87">
        <v>220.0</v>
      </c>
      <c r="H175" s="88">
        <f t="shared" si="2"/>
        <v>440</v>
      </c>
      <c r="I175" s="61"/>
      <c r="J175" s="6"/>
    </row>
    <row r="176">
      <c r="E176" s="86" t="s">
        <v>188</v>
      </c>
      <c r="F176" s="86">
        <v>1.0</v>
      </c>
      <c r="G176" s="87">
        <v>200.0</v>
      </c>
      <c r="H176" s="88">
        <f t="shared" si="2"/>
        <v>200</v>
      </c>
      <c r="I176" s="61"/>
      <c r="J176" s="6"/>
    </row>
    <row r="177">
      <c r="E177" s="86" t="s">
        <v>189</v>
      </c>
      <c r="F177" s="86">
        <v>10.0</v>
      </c>
      <c r="G177" s="87">
        <v>20.0</v>
      </c>
      <c r="H177" s="88">
        <f t="shared" si="2"/>
        <v>200</v>
      </c>
      <c r="I177" s="61"/>
      <c r="J177" s="6"/>
    </row>
    <row r="178">
      <c r="E178" s="86" t="s">
        <v>190</v>
      </c>
      <c r="F178" s="86">
        <v>1.0</v>
      </c>
      <c r="G178" s="87">
        <v>1400.0</v>
      </c>
      <c r="H178" s="88">
        <f t="shared" si="2"/>
        <v>1400</v>
      </c>
      <c r="I178" s="61"/>
      <c r="J178" s="6"/>
    </row>
    <row r="179">
      <c r="E179" s="86" t="s">
        <v>186</v>
      </c>
      <c r="F179" s="86">
        <v>2.5</v>
      </c>
      <c r="G179" s="87">
        <v>120.0</v>
      </c>
      <c r="H179" s="88">
        <f t="shared" si="2"/>
        <v>300</v>
      </c>
      <c r="I179" s="61"/>
      <c r="J179" s="6"/>
    </row>
    <row r="180">
      <c r="E180" s="86" t="s">
        <v>191</v>
      </c>
      <c r="F180" s="86">
        <v>3.0</v>
      </c>
      <c r="G180" s="87">
        <v>50.0</v>
      </c>
      <c r="H180" s="88">
        <f t="shared" si="2"/>
        <v>150</v>
      </c>
      <c r="I180" s="61"/>
      <c r="J180" s="6"/>
    </row>
    <row r="181">
      <c r="E181" s="86" t="s">
        <v>192</v>
      </c>
      <c r="F181" s="86">
        <v>20.0</v>
      </c>
      <c r="G181" s="87">
        <v>600.0</v>
      </c>
      <c r="H181" s="88">
        <f t="shared" si="2"/>
        <v>12000</v>
      </c>
      <c r="I181" s="61"/>
      <c r="J181" s="6"/>
    </row>
    <row r="182">
      <c r="E182" s="86" t="s">
        <v>193</v>
      </c>
      <c r="F182" s="86">
        <v>32.0</v>
      </c>
      <c r="G182" s="87">
        <v>176.0</v>
      </c>
      <c r="H182" s="88">
        <f t="shared" si="2"/>
        <v>5632</v>
      </c>
      <c r="I182" s="61"/>
      <c r="J182" s="6"/>
    </row>
    <row r="183">
      <c r="E183" s="86" t="s">
        <v>68</v>
      </c>
      <c r="F183" s="86">
        <v>8.0</v>
      </c>
      <c r="G183" s="87">
        <v>780.0</v>
      </c>
      <c r="H183" s="88">
        <f t="shared" si="2"/>
        <v>6240</v>
      </c>
      <c r="I183" s="61"/>
      <c r="J183" s="6"/>
    </row>
    <row r="184">
      <c r="E184" s="86" t="s">
        <v>194</v>
      </c>
      <c r="F184" s="86">
        <v>7.0</v>
      </c>
      <c r="G184" s="87">
        <v>795.0</v>
      </c>
      <c r="H184" s="88">
        <f t="shared" si="2"/>
        <v>5565</v>
      </c>
      <c r="I184" s="61"/>
      <c r="J184" s="6"/>
    </row>
    <row r="185">
      <c r="E185" s="86" t="s">
        <v>195</v>
      </c>
      <c r="F185" s="86">
        <v>1.0</v>
      </c>
      <c r="G185" s="87">
        <v>200.0</v>
      </c>
      <c r="H185" s="88">
        <f t="shared" si="2"/>
        <v>200</v>
      </c>
      <c r="I185" s="61"/>
      <c r="J185" s="6"/>
    </row>
    <row r="186">
      <c r="E186" s="86" t="s">
        <v>127</v>
      </c>
      <c r="F186" s="86">
        <v>1.0</v>
      </c>
      <c r="G186" s="87">
        <v>380.0</v>
      </c>
      <c r="H186" s="88">
        <f t="shared" si="2"/>
        <v>380</v>
      </c>
      <c r="I186" s="61"/>
      <c r="J186" s="6"/>
    </row>
    <row r="187">
      <c r="E187" s="86" t="s">
        <v>196</v>
      </c>
      <c r="F187" s="86">
        <v>1.0</v>
      </c>
      <c r="G187" s="87">
        <v>450.0</v>
      </c>
      <c r="H187" s="88">
        <f t="shared" si="2"/>
        <v>450</v>
      </c>
      <c r="I187" s="61"/>
      <c r="J187" s="6"/>
    </row>
    <row r="188">
      <c r="E188" s="86" t="s">
        <v>197</v>
      </c>
      <c r="F188" s="86">
        <v>1.0</v>
      </c>
      <c r="G188" s="87">
        <v>550.0</v>
      </c>
      <c r="H188" s="88">
        <f t="shared" si="2"/>
        <v>550</v>
      </c>
      <c r="I188" s="61"/>
      <c r="J188" s="6"/>
    </row>
    <row r="189">
      <c r="E189" s="86" t="s">
        <v>128</v>
      </c>
      <c r="F189" s="86">
        <v>2.0</v>
      </c>
      <c r="G189" s="87">
        <v>120.0</v>
      </c>
      <c r="H189" s="88">
        <f t="shared" si="2"/>
        <v>240</v>
      </c>
      <c r="I189" s="61"/>
      <c r="J189" s="6"/>
    </row>
    <row r="190">
      <c r="E190" s="86" t="s">
        <v>115</v>
      </c>
      <c r="F190" s="86">
        <v>6.5</v>
      </c>
      <c r="G190" s="87">
        <v>700.0</v>
      </c>
      <c r="H190" s="88">
        <f t="shared" si="2"/>
        <v>4550</v>
      </c>
      <c r="I190" s="94">
        <v>45728.0</v>
      </c>
      <c r="J190" s="6"/>
    </row>
    <row r="191">
      <c r="E191" s="86" t="s">
        <v>115</v>
      </c>
      <c r="F191" s="86">
        <v>3.0</v>
      </c>
      <c r="G191" s="87">
        <v>700.0</v>
      </c>
      <c r="H191" s="88">
        <f t="shared" si="2"/>
        <v>2100</v>
      </c>
      <c r="I191" s="61"/>
      <c r="J191" s="6"/>
    </row>
    <row r="192">
      <c r="E192" s="86" t="s">
        <v>122</v>
      </c>
      <c r="F192" s="86">
        <v>3.0</v>
      </c>
      <c r="G192" s="87">
        <v>370.0</v>
      </c>
      <c r="H192" s="88">
        <f t="shared" si="2"/>
        <v>1110</v>
      </c>
      <c r="I192" s="61"/>
      <c r="J192" s="6"/>
    </row>
    <row r="193">
      <c r="E193" s="86" t="s">
        <v>198</v>
      </c>
      <c r="F193" s="86">
        <v>2.0</v>
      </c>
      <c r="G193" s="87">
        <v>200.0</v>
      </c>
      <c r="H193" s="88">
        <f t="shared" si="2"/>
        <v>400</v>
      </c>
      <c r="I193" s="61"/>
      <c r="J193" s="6"/>
    </row>
    <row r="194">
      <c r="E194" s="86" t="s">
        <v>186</v>
      </c>
      <c r="F194" s="86">
        <v>1.0</v>
      </c>
      <c r="G194" s="87">
        <v>100.0</v>
      </c>
      <c r="H194" s="88">
        <f t="shared" si="2"/>
        <v>100</v>
      </c>
      <c r="I194" s="61"/>
      <c r="J194" s="6"/>
    </row>
    <row r="195">
      <c r="E195" s="86" t="s">
        <v>123</v>
      </c>
      <c r="F195" s="86">
        <v>20.0</v>
      </c>
      <c r="G195" s="87">
        <v>50.0</v>
      </c>
      <c r="H195" s="88">
        <f t="shared" si="2"/>
        <v>1000</v>
      </c>
      <c r="I195" s="61"/>
      <c r="J195" s="6"/>
    </row>
    <row r="196">
      <c r="E196" s="86" t="s">
        <v>112</v>
      </c>
      <c r="F196" s="86">
        <v>10.0</v>
      </c>
      <c r="G196" s="87">
        <v>70.0</v>
      </c>
      <c r="H196" s="88">
        <f t="shared" si="2"/>
        <v>700</v>
      </c>
      <c r="I196" s="61"/>
      <c r="J196" s="6"/>
    </row>
    <row r="197">
      <c r="E197" s="86" t="s">
        <v>199</v>
      </c>
      <c r="F197" s="86">
        <v>2.0</v>
      </c>
      <c r="G197" s="87">
        <v>500.0</v>
      </c>
      <c r="H197" s="88">
        <f t="shared" si="2"/>
        <v>1000</v>
      </c>
      <c r="I197" s="61"/>
      <c r="J197" s="6"/>
    </row>
    <row r="198">
      <c r="E198" s="86" t="s">
        <v>118</v>
      </c>
      <c r="F198" s="86">
        <v>0.5</v>
      </c>
      <c r="G198" s="87">
        <v>600.0</v>
      </c>
      <c r="H198" s="88">
        <f t="shared" si="2"/>
        <v>300</v>
      </c>
      <c r="I198" s="61"/>
      <c r="J198" s="6"/>
    </row>
    <row r="199">
      <c r="E199" s="86" t="s">
        <v>128</v>
      </c>
      <c r="F199" s="86">
        <v>10.0</v>
      </c>
      <c r="G199" s="87">
        <v>100.0</v>
      </c>
      <c r="H199" s="88">
        <f t="shared" si="2"/>
        <v>1000</v>
      </c>
      <c r="I199" s="61"/>
      <c r="J199" s="6"/>
    </row>
    <row r="200">
      <c r="E200" s="86" t="s">
        <v>166</v>
      </c>
      <c r="F200" s="86">
        <v>5.0</v>
      </c>
      <c r="G200" s="87">
        <v>150.0</v>
      </c>
      <c r="H200" s="88">
        <f t="shared" si="2"/>
        <v>750</v>
      </c>
      <c r="I200" s="61"/>
      <c r="J200" s="6"/>
    </row>
    <row r="201">
      <c r="E201" s="86" t="s">
        <v>151</v>
      </c>
      <c r="F201" s="86">
        <v>0.5</v>
      </c>
      <c r="G201" s="87">
        <v>600.0</v>
      </c>
      <c r="H201" s="88">
        <f t="shared" si="2"/>
        <v>300</v>
      </c>
      <c r="I201" s="61"/>
      <c r="J201" s="6"/>
    </row>
    <row r="202">
      <c r="E202" s="86" t="s">
        <v>144</v>
      </c>
      <c r="F202" s="86">
        <v>1.0</v>
      </c>
      <c r="G202" s="87">
        <v>200.0</v>
      </c>
      <c r="H202" s="88">
        <f t="shared" si="2"/>
        <v>200</v>
      </c>
      <c r="I202" s="61"/>
      <c r="J202" s="6"/>
    </row>
    <row r="203">
      <c r="E203" s="86" t="s">
        <v>115</v>
      </c>
      <c r="F203" s="86">
        <v>6.0</v>
      </c>
      <c r="G203" s="87">
        <v>700.0</v>
      </c>
      <c r="H203" s="88">
        <f t="shared" si="2"/>
        <v>4200</v>
      </c>
      <c r="I203" s="93">
        <v>45729.0</v>
      </c>
      <c r="J203" s="6"/>
    </row>
    <row r="204">
      <c r="E204" s="86" t="s">
        <v>186</v>
      </c>
      <c r="F204" s="86">
        <v>7.0</v>
      </c>
      <c r="G204" s="87">
        <v>90.0</v>
      </c>
      <c r="H204" s="88">
        <f t="shared" si="2"/>
        <v>630</v>
      </c>
      <c r="I204" s="61"/>
      <c r="J204" s="6"/>
    </row>
    <row r="205">
      <c r="E205" s="86" t="s">
        <v>200</v>
      </c>
      <c r="F205" s="86">
        <v>4.0</v>
      </c>
      <c r="G205" s="87">
        <v>200.0</v>
      </c>
      <c r="H205" s="88">
        <f t="shared" si="2"/>
        <v>800</v>
      </c>
      <c r="I205" s="61"/>
      <c r="J205" s="6"/>
    </row>
    <row r="206">
      <c r="E206" s="86" t="s">
        <v>201</v>
      </c>
      <c r="F206" s="86">
        <v>2.0</v>
      </c>
      <c r="G206" s="87">
        <v>80.0</v>
      </c>
      <c r="H206" s="88">
        <f t="shared" si="2"/>
        <v>160</v>
      </c>
      <c r="I206" s="92"/>
      <c r="J206" s="6"/>
    </row>
    <row r="207">
      <c r="E207" s="86" t="s">
        <v>202</v>
      </c>
      <c r="F207" s="86">
        <v>1.0</v>
      </c>
      <c r="G207" s="87">
        <v>200.0</v>
      </c>
      <c r="H207" s="88">
        <f t="shared" si="2"/>
        <v>200</v>
      </c>
      <c r="I207" s="61"/>
      <c r="J207" s="6"/>
    </row>
    <row r="208">
      <c r="E208" s="86" t="s">
        <v>203</v>
      </c>
      <c r="F208" s="86">
        <v>5.0</v>
      </c>
      <c r="G208" s="87">
        <v>120.0</v>
      </c>
      <c r="H208" s="88">
        <f t="shared" si="2"/>
        <v>600</v>
      </c>
      <c r="I208" s="61"/>
      <c r="J208" s="6"/>
    </row>
    <row r="209">
      <c r="E209" s="86" t="s">
        <v>204</v>
      </c>
      <c r="F209" s="86">
        <v>5.0</v>
      </c>
      <c r="G209" s="87">
        <v>100.0</v>
      </c>
      <c r="H209" s="88">
        <f t="shared" si="2"/>
        <v>500</v>
      </c>
      <c r="I209" s="61"/>
      <c r="J209" s="6"/>
    </row>
    <row r="210">
      <c r="E210" s="86" t="s">
        <v>205</v>
      </c>
      <c r="F210" s="86">
        <v>2.0</v>
      </c>
      <c r="G210" s="87">
        <v>150.0</v>
      </c>
      <c r="H210" s="88">
        <f t="shared" si="2"/>
        <v>300</v>
      </c>
      <c r="I210" s="61"/>
      <c r="J210" s="6"/>
    </row>
    <row r="211">
      <c r="E211" s="86" t="s">
        <v>96</v>
      </c>
      <c r="F211" s="86">
        <v>4.0</v>
      </c>
      <c r="G211" s="87">
        <v>100.0</v>
      </c>
      <c r="H211" s="88">
        <f t="shared" si="2"/>
        <v>400</v>
      </c>
      <c r="I211" s="61"/>
      <c r="J211" s="6"/>
    </row>
    <row r="212">
      <c r="E212" s="86" t="s">
        <v>125</v>
      </c>
      <c r="F212" s="86">
        <v>2.5</v>
      </c>
      <c r="G212" s="87">
        <v>200.0</v>
      </c>
      <c r="H212" s="88">
        <f t="shared" si="2"/>
        <v>500</v>
      </c>
      <c r="I212" s="61"/>
      <c r="J212" s="6"/>
    </row>
    <row r="213">
      <c r="E213" s="86" t="s">
        <v>186</v>
      </c>
      <c r="F213" s="86">
        <v>2.0</v>
      </c>
      <c r="G213" s="87">
        <v>150.0</v>
      </c>
      <c r="H213" s="88">
        <f t="shared" si="2"/>
        <v>300</v>
      </c>
      <c r="I213" s="61"/>
      <c r="J213" s="6"/>
    </row>
    <row r="214">
      <c r="E214" s="86" t="s">
        <v>206</v>
      </c>
      <c r="F214" s="86">
        <v>1.0</v>
      </c>
      <c r="G214" s="87">
        <v>30.0</v>
      </c>
      <c r="H214" s="88">
        <f t="shared" si="2"/>
        <v>30</v>
      </c>
      <c r="I214" s="61"/>
      <c r="J214" s="6"/>
    </row>
    <row r="215">
      <c r="E215" s="86" t="s">
        <v>207</v>
      </c>
      <c r="F215" s="86">
        <v>25.0</v>
      </c>
      <c r="G215" s="87">
        <v>30.0</v>
      </c>
      <c r="H215" s="88">
        <f t="shared" si="2"/>
        <v>750</v>
      </c>
      <c r="I215" s="61"/>
      <c r="J215" s="6"/>
    </row>
    <row r="216">
      <c r="E216" s="86" t="s">
        <v>208</v>
      </c>
      <c r="F216" s="86">
        <v>20.0</v>
      </c>
      <c r="G216" s="87">
        <v>100.0</v>
      </c>
      <c r="H216" s="88">
        <f t="shared" si="2"/>
        <v>2000</v>
      </c>
      <c r="I216" s="61"/>
      <c r="J216" s="6"/>
    </row>
    <row r="217">
      <c r="E217" s="86" t="s">
        <v>209</v>
      </c>
      <c r="F217" s="86">
        <v>1.0</v>
      </c>
      <c r="G217" s="87">
        <v>700.0</v>
      </c>
      <c r="H217" s="88">
        <f t="shared" si="2"/>
        <v>700</v>
      </c>
      <c r="I217" s="61"/>
      <c r="J217" s="6"/>
    </row>
    <row r="218">
      <c r="E218" s="86" t="s">
        <v>144</v>
      </c>
      <c r="F218" s="86">
        <v>1.0</v>
      </c>
      <c r="G218" s="87">
        <v>1250.0</v>
      </c>
      <c r="H218" s="88">
        <f t="shared" si="2"/>
        <v>1250</v>
      </c>
      <c r="I218" s="92"/>
      <c r="J218" s="6"/>
    </row>
    <row r="219">
      <c r="E219" s="86" t="s">
        <v>146</v>
      </c>
      <c r="F219" s="86">
        <v>10.0</v>
      </c>
      <c r="G219" s="87">
        <v>100.0</v>
      </c>
      <c r="H219" s="88">
        <f t="shared" si="2"/>
        <v>1000</v>
      </c>
      <c r="I219" s="61"/>
      <c r="J219" s="6"/>
    </row>
    <row r="220">
      <c r="E220" s="86" t="s">
        <v>128</v>
      </c>
      <c r="F220" s="86">
        <v>7.0</v>
      </c>
      <c r="G220" s="87">
        <v>120.0</v>
      </c>
      <c r="H220" s="88">
        <f t="shared" si="2"/>
        <v>840</v>
      </c>
      <c r="I220" s="61"/>
      <c r="J220" s="6"/>
    </row>
    <row r="221">
      <c r="E221" s="86" t="s">
        <v>115</v>
      </c>
      <c r="F221" s="86">
        <v>6.0</v>
      </c>
      <c r="G221" s="87">
        <v>700.0</v>
      </c>
      <c r="H221" s="88">
        <f t="shared" si="2"/>
        <v>4200</v>
      </c>
      <c r="I221" s="61"/>
      <c r="J221" s="6"/>
    </row>
    <row r="222">
      <c r="E222" s="86" t="s">
        <v>122</v>
      </c>
      <c r="F222" s="86">
        <v>3.0</v>
      </c>
      <c r="G222" s="87">
        <v>370.0</v>
      </c>
      <c r="H222" s="88">
        <f t="shared" si="2"/>
        <v>1110</v>
      </c>
      <c r="I222" s="61"/>
      <c r="J222" s="6"/>
    </row>
    <row r="223">
      <c r="E223" s="86" t="s">
        <v>89</v>
      </c>
      <c r="F223" s="86">
        <v>2.0</v>
      </c>
      <c r="G223" s="87">
        <v>200.0</v>
      </c>
      <c r="H223" s="88">
        <f t="shared" si="2"/>
        <v>400</v>
      </c>
      <c r="I223" s="61"/>
      <c r="J223" s="6"/>
    </row>
    <row r="224">
      <c r="E224" s="86" t="s">
        <v>128</v>
      </c>
      <c r="F224" s="86">
        <v>15.0</v>
      </c>
      <c r="G224" s="87">
        <v>90.0</v>
      </c>
      <c r="H224" s="88">
        <f t="shared" si="2"/>
        <v>1350</v>
      </c>
      <c r="I224" s="61"/>
      <c r="J224" s="6"/>
    </row>
    <row r="225">
      <c r="E225" s="86" t="s">
        <v>210</v>
      </c>
      <c r="F225" s="86">
        <v>1.0</v>
      </c>
      <c r="G225" s="87">
        <v>320.0</v>
      </c>
      <c r="H225" s="88">
        <f t="shared" si="2"/>
        <v>320</v>
      </c>
      <c r="I225" s="61"/>
      <c r="J225" s="6"/>
    </row>
    <row r="226">
      <c r="E226" s="86" t="s">
        <v>139</v>
      </c>
      <c r="F226" s="86">
        <v>1.0</v>
      </c>
      <c r="G226" s="87">
        <v>850.0</v>
      </c>
      <c r="H226" s="88">
        <f t="shared" si="2"/>
        <v>850</v>
      </c>
      <c r="I226" s="61"/>
      <c r="J226" s="6"/>
    </row>
    <row r="227">
      <c r="E227" s="86" t="s">
        <v>211</v>
      </c>
      <c r="F227" s="86">
        <v>1.0</v>
      </c>
      <c r="G227" s="87">
        <v>600.0</v>
      </c>
      <c r="H227" s="88">
        <f t="shared" si="2"/>
        <v>600</v>
      </c>
      <c r="I227" s="61"/>
      <c r="J227" s="6"/>
    </row>
    <row r="228">
      <c r="E228" s="86" t="s">
        <v>212</v>
      </c>
      <c r="F228" s="86">
        <v>1.0</v>
      </c>
      <c r="G228" s="87">
        <v>1000.0</v>
      </c>
      <c r="H228" s="88">
        <f t="shared" si="2"/>
        <v>1000</v>
      </c>
      <c r="I228" s="61"/>
      <c r="J228" s="6"/>
    </row>
    <row r="229">
      <c r="E229" s="86" t="s">
        <v>213</v>
      </c>
      <c r="F229" s="86">
        <v>1.0</v>
      </c>
      <c r="G229" s="87">
        <v>900.0</v>
      </c>
      <c r="H229" s="88">
        <f t="shared" si="2"/>
        <v>900</v>
      </c>
      <c r="I229" s="61"/>
      <c r="J229" s="6"/>
    </row>
    <row r="230">
      <c r="E230" s="86" t="s">
        <v>214</v>
      </c>
      <c r="F230" s="86">
        <v>3.0</v>
      </c>
      <c r="G230" s="87">
        <v>1200.0</v>
      </c>
      <c r="H230" s="88">
        <f t="shared" si="2"/>
        <v>3600</v>
      </c>
      <c r="I230" s="61"/>
      <c r="J230" s="6"/>
    </row>
    <row r="231">
      <c r="E231" s="86" t="s">
        <v>215</v>
      </c>
      <c r="F231" s="86">
        <v>1.0</v>
      </c>
      <c r="G231" s="87">
        <v>1020.0</v>
      </c>
      <c r="H231" s="88">
        <f t="shared" si="2"/>
        <v>1020</v>
      </c>
      <c r="I231" s="61"/>
      <c r="J231" s="6"/>
    </row>
    <row r="232">
      <c r="E232" s="86" t="s">
        <v>216</v>
      </c>
      <c r="F232" s="86">
        <v>1.0</v>
      </c>
      <c r="G232" s="87">
        <v>700.0</v>
      </c>
      <c r="H232" s="88">
        <f t="shared" si="2"/>
        <v>700</v>
      </c>
      <c r="I232" s="61"/>
      <c r="J232" s="6"/>
    </row>
    <row r="233">
      <c r="E233" s="86" t="s">
        <v>217</v>
      </c>
      <c r="F233" s="86">
        <v>50.0</v>
      </c>
      <c r="G233" s="87">
        <v>21.0</v>
      </c>
      <c r="H233" s="88">
        <f t="shared" si="2"/>
        <v>1050</v>
      </c>
      <c r="I233" s="61"/>
      <c r="J233" s="6"/>
    </row>
    <row r="234">
      <c r="E234" s="86" t="s">
        <v>218</v>
      </c>
      <c r="F234" s="86">
        <v>50.0</v>
      </c>
      <c r="G234" s="87">
        <v>33.0</v>
      </c>
      <c r="H234" s="88">
        <f t="shared" si="2"/>
        <v>1650</v>
      </c>
      <c r="I234" s="61"/>
      <c r="J234" s="6"/>
    </row>
    <row r="235">
      <c r="E235" s="86" t="s">
        <v>219</v>
      </c>
      <c r="F235" s="86">
        <v>50.0</v>
      </c>
      <c r="G235" s="87">
        <v>27.0</v>
      </c>
      <c r="H235" s="88">
        <f t="shared" si="2"/>
        <v>1350</v>
      </c>
      <c r="I235" s="61"/>
      <c r="J235" s="6"/>
    </row>
    <row r="236">
      <c r="E236" s="99" t="s">
        <v>220</v>
      </c>
      <c r="F236" s="99">
        <v>1.0</v>
      </c>
      <c r="G236" s="100">
        <v>23000.0</v>
      </c>
      <c r="H236" s="101">
        <f t="shared" si="2"/>
        <v>23000</v>
      </c>
      <c r="I236" s="102">
        <v>45730.0</v>
      </c>
      <c r="J236" s="6"/>
    </row>
    <row r="237">
      <c r="E237" s="86" t="s">
        <v>221</v>
      </c>
      <c r="F237" s="86">
        <v>2.0</v>
      </c>
      <c r="G237" s="87">
        <v>150.0</v>
      </c>
      <c r="H237" s="88">
        <f t="shared" si="2"/>
        <v>300</v>
      </c>
      <c r="I237" s="61"/>
      <c r="J237" s="6"/>
    </row>
    <row r="238">
      <c r="E238" s="86" t="s">
        <v>222</v>
      </c>
      <c r="F238" s="86">
        <v>1.0</v>
      </c>
      <c r="G238" s="87">
        <v>1200.0</v>
      </c>
      <c r="H238" s="88">
        <f t="shared" si="2"/>
        <v>1200</v>
      </c>
      <c r="I238" s="61"/>
      <c r="J238" s="6"/>
    </row>
    <row r="239">
      <c r="E239" s="86" t="s">
        <v>223</v>
      </c>
      <c r="F239" s="86">
        <v>5.0</v>
      </c>
      <c r="G239" s="87">
        <v>120.0</v>
      </c>
      <c r="H239" s="88">
        <f t="shared" si="2"/>
        <v>600</v>
      </c>
      <c r="I239" s="61"/>
      <c r="J239" s="6"/>
    </row>
    <row r="240">
      <c r="E240" s="86" t="s">
        <v>156</v>
      </c>
      <c r="F240" s="86">
        <v>1.0</v>
      </c>
      <c r="G240" s="87">
        <v>350.0</v>
      </c>
      <c r="H240" s="88">
        <f t="shared" si="2"/>
        <v>350</v>
      </c>
      <c r="I240" s="61"/>
      <c r="J240" s="6"/>
    </row>
    <row r="241">
      <c r="E241" s="86" t="s">
        <v>224</v>
      </c>
      <c r="F241" s="86">
        <v>2.0</v>
      </c>
      <c r="G241" s="87">
        <v>250.0</v>
      </c>
      <c r="H241" s="88">
        <f t="shared" si="2"/>
        <v>500</v>
      </c>
      <c r="I241" s="61"/>
      <c r="J241" s="6"/>
    </row>
    <row r="242">
      <c r="E242" s="86" t="s">
        <v>225</v>
      </c>
      <c r="F242" s="86">
        <v>1.0</v>
      </c>
      <c r="G242" s="87">
        <v>150.0</v>
      </c>
      <c r="H242" s="88">
        <f t="shared" si="2"/>
        <v>150</v>
      </c>
      <c r="I242" s="92"/>
      <c r="J242" s="6"/>
    </row>
    <row r="243">
      <c r="E243" s="86" t="s">
        <v>226</v>
      </c>
      <c r="F243" s="86">
        <v>4.0</v>
      </c>
      <c r="G243" s="87">
        <v>150.0</v>
      </c>
      <c r="H243" s="88">
        <f t="shared" si="2"/>
        <v>600</v>
      </c>
      <c r="I243" s="61"/>
      <c r="J243" s="6"/>
    </row>
    <row r="244">
      <c r="E244" s="86" t="s">
        <v>75</v>
      </c>
      <c r="F244" s="86">
        <v>0.2</v>
      </c>
      <c r="G244" s="87">
        <v>6000.0</v>
      </c>
      <c r="H244" s="88">
        <f t="shared" si="2"/>
        <v>1200</v>
      </c>
      <c r="I244" s="61"/>
      <c r="J244" s="6"/>
    </row>
    <row r="245">
      <c r="E245" s="86" t="s">
        <v>227</v>
      </c>
      <c r="F245" s="86">
        <v>1.0</v>
      </c>
      <c r="G245" s="87">
        <v>250.0</v>
      </c>
      <c r="H245" s="88">
        <f t="shared" si="2"/>
        <v>250</v>
      </c>
      <c r="I245" s="61"/>
      <c r="J245" s="6"/>
    </row>
    <row r="246">
      <c r="E246" s="86" t="s">
        <v>186</v>
      </c>
      <c r="F246" s="86">
        <v>10.0</v>
      </c>
      <c r="G246" s="87">
        <v>85.0</v>
      </c>
      <c r="H246" s="88">
        <f t="shared" si="2"/>
        <v>850</v>
      </c>
      <c r="I246" s="61"/>
      <c r="J246" s="6"/>
    </row>
    <row r="247">
      <c r="E247" s="86" t="s">
        <v>123</v>
      </c>
      <c r="F247" s="86">
        <v>10.0</v>
      </c>
      <c r="G247" s="87">
        <v>55.0</v>
      </c>
      <c r="H247" s="88">
        <f t="shared" si="2"/>
        <v>550</v>
      </c>
      <c r="I247" s="61"/>
      <c r="J247" s="6"/>
    </row>
    <row r="248">
      <c r="E248" s="86" t="s">
        <v>228</v>
      </c>
      <c r="F248" s="86">
        <v>10.0</v>
      </c>
      <c r="G248" s="87">
        <v>30.0</v>
      </c>
      <c r="H248" s="88">
        <f t="shared" si="2"/>
        <v>300</v>
      </c>
      <c r="I248" s="61"/>
      <c r="J248" s="6"/>
    </row>
    <row r="249">
      <c r="E249" s="86" t="s">
        <v>229</v>
      </c>
      <c r="F249" s="86">
        <v>10.0</v>
      </c>
      <c r="G249" s="87">
        <v>30.0</v>
      </c>
      <c r="H249" s="88">
        <f t="shared" si="2"/>
        <v>300</v>
      </c>
      <c r="I249" s="61"/>
      <c r="J249" s="6"/>
    </row>
    <row r="250">
      <c r="E250" s="86" t="s">
        <v>230</v>
      </c>
      <c r="F250" s="86">
        <v>1.0</v>
      </c>
      <c r="G250" s="87">
        <v>250.0</v>
      </c>
      <c r="H250" s="88">
        <f t="shared" si="2"/>
        <v>250</v>
      </c>
      <c r="I250" s="61"/>
      <c r="J250" s="6"/>
    </row>
    <row r="251">
      <c r="E251" s="86" t="s">
        <v>118</v>
      </c>
      <c r="F251" s="86">
        <v>4.0</v>
      </c>
      <c r="G251" s="87">
        <v>650.0</v>
      </c>
      <c r="H251" s="88">
        <f t="shared" si="2"/>
        <v>2600</v>
      </c>
      <c r="I251" s="61"/>
      <c r="J251" s="6"/>
    </row>
    <row r="252">
      <c r="E252" s="86" t="s">
        <v>199</v>
      </c>
      <c r="F252" s="86">
        <v>2.0</v>
      </c>
      <c r="G252" s="87">
        <v>500.0</v>
      </c>
      <c r="H252" s="88">
        <f t="shared" si="2"/>
        <v>1000</v>
      </c>
      <c r="I252" s="61"/>
      <c r="J252" s="6"/>
    </row>
    <row r="253">
      <c r="E253" s="86" t="s">
        <v>231</v>
      </c>
      <c r="F253" s="86">
        <v>20.0</v>
      </c>
      <c r="G253" s="87">
        <v>70.0</v>
      </c>
      <c r="H253" s="88">
        <f t="shared" si="2"/>
        <v>1400</v>
      </c>
      <c r="I253" s="61"/>
      <c r="J253" s="6"/>
    </row>
    <row r="254">
      <c r="E254" s="86" t="s">
        <v>155</v>
      </c>
      <c r="F254" s="86">
        <v>2.0</v>
      </c>
      <c r="G254" s="87">
        <v>650.0</v>
      </c>
      <c r="H254" s="88">
        <f t="shared" si="2"/>
        <v>1300</v>
      </c>
      <c r="I254" s="61"/>
      <c r="J254" s="6"/>
    </row>
    <row r="255">
      <c r="E255" s="86" t="s">
        <v>115</v>
      </c>
      <c r="F255" s="86">
        <v>6.0</v>
      </c>
      <c r="G255" s="87">
        <v>700.0</v>
      </c>
      <c r="H255" s="88">
        <f t="shared" si="2"/>
        <v>4200</v>
      </c>
      <c r="I255" s="61"/>
      <c r="J255" s="6"/>
    </row>
    <row r="256">
      <c r="E256" s="86" t="s">
        <v>232</v>
      </c>
      <c r="F256" s="86">
        <v>10.0</v>
      </c>
      <c r="G256" s="87">
        <v>150.0</v>
      </c>
      <c r="H256" s="88">
        <f t="shared" si="2"/>
        <v>1500</v>
      </c>
      <c r="I256" s="61"/>
      <c r="J256" s="6"/>
    </row>
    <row r="257">
      <c r="E257" s="86" t="s">
        <v>233</v>
      </c>
      <c r="F257" s="86">
        <v>1.0</v>
      </c>
      <c r="G257" s="87">
        <v>280.0</v>
      </c>
      <c r="H257" s="88">
        <f t="shared" si="2"/>
        <v>280</v>
      </c>
      <c r="I257" s="61"/>
      <c r="J257" s="6"/>
    </row>
    <row r="258">
      <c r="E258" s="86" t="s">
        <v>234</v>
      </c>
      <c r="F258" s="86">
        <v>2.0</v>
      </c>
      <c r="G258" s="87">
        <v>220.0</v>
      </c>
      <c r="H258" s="88">
        <f t="shared" si="2"/>
        <v>440</v>
      </c>
      <c r="I258" s="61"/>
      <c r="J258" s="6"/>
    </row>
    <row r="259">
      <c r="E259" s="86" t="s">
        <v>128</v>
      </c>
      <c r="F259" s="86">
        <v>20.0</v>
      </c>
      <c r="G259" s="87">
        <v>100.0</v>
      </c>
      <c r="H259" s="88">
        <f t="shared" si="2"/>
        <v>2000</v>
      </c>
      <c r="I259" s="61"/>
      <c r="J259" s="6"/>
    </row>
    <row r="260">
      <c r="E260" s="86" t="s">
        <v>128</v>
      </c>
      <c r="F260" s="86">
        <v>5.0</v>
      </c>
      <c r="G260" s="87">
        <v>120.0</v>
      </c>
      <c r="H260" s="88">
        <f t="shared" si="2"/>
        <v>600</v>
      </c>
      <c r="I260" s="61"/>
      <c r="J260" s="6"/>
    </row>
    <row r="261">
      <c r="E261" s="86" t="s">
        <v>235</v>
      </c>
      <c r="F261" s="86">
        <v>10.0</v>
      </c>
      <c r="G261" s="87">
        <v>100.0</v>
      </c>
      <c r="H261" s="88">
        <f t="shared" si="2"/>
        <v>1000</v>
      </c>
      <c r="I261" s="61"/>
      <c r="J261" s="6"/>
    </row>
    <row r="262">
      <c r="E262" s="86" t="s">
        <v>236</v>
      </c>
      <c r="F262" s="86">
        <v>10.0</v>
      </c>
      <c r="G262" s="87">
        <v>120.0</v>
      </c>
      <c r="H262" s="88">
        <f t="shared" si="2"/>
        <v>1200</v>
      </c>
      <c r="I262" s="61"/>
      <c r="J262" s="6"/>
    </row>
    <row r="263">
      <c r="E263" s="86" t="s">
        <v>144</v>
      </c>
      <c r="F263" s="86">
        <v>5.0</v>
      </c>
      <c r="G263" s="87">
        <v>1000.0</v>
      </c>
      <c r="H263" s="88">
        <f t="shared" si="2"/>
        <v>5000</v>
      </c>
      <c r="I263" s="92"/>
      <c r="J263" s="6"/>
    </row>
    <row r="264">
      <c r="E264" s="86" t="s">
        <v>115</v>
      </c>
      <c r="F264" s="86">
        <v>8.0</v>
      </c>
      <c r="G264" s="87">
        <v>700.0</v>
      </c>
      <c r="H264" s="88">
        <f t="shared" si="2"/>
        <v>5600</v>
      </c>
      <c r="I264" s="61"/>
      <c r="J264" s="6"/>
    </row>
    <row r="265">
      <c r="E265" s="86" t="s">
        <v>133</v>
      </c>
      <c r="F265" s="86">
        <v>4.0</v>
      </c>
      <c r="G265" s="87">
        <v>170.0</v>
      </c>
      <c r="H265" s="88">
        <f t="shared" si="2"/>
        <v>680</v>
      </c>
      <c r="I265" s="61"/>
      <c r="J265" s="6"/>
    </row>
    <row r="266">
      <c r="E266" s="86" t="s">
        <v>237</v>
      </c>
      <c r="F266" s="86">
        <v>2.0</v>
      </c>
      <c r="G266" s="87">
        <v>150.0</v>
      </c>
      <c r="H266" s="88">
        <f t="shared" si="2"/>
        <v>300</v>
      </c>
      <c r="I266" s="61"/>
      <c r="J266" s="6"/>
    </row>
    <row r="267">
      <c r="E267" s="86" t="s">
        <v>90</v>
      </c>
      <c r="F267" s="86">
        <v>2.0</v>
      </c>
      <c r="G267" s="87">
        <v>380.0</v>
      </c>
      <c r="H267" s="88">
        <f t="shared" si="2"/>
        <v>760</v>
      </c>
      <c r="I267" s="61"/>
      <c r="J267" s="6"/>
    </row>
    <row r="268">
      <c r="E268" s="86" t="s">
        <v>238</v>
      </c>
      <c r="F268" s="86">
        <v>1.0</v>
      </c>
      <c r="G268" s="87">
        <v>200.0</v>
      </c>
      <c r="H268" s="88">
        <f t="shared" si="2"/>
        <v>200</v>
      </c>
      <c r="I268" s="61"/>
      <c r="J268" s="6"/>
    </row>
    <row r="269">
      <c r="E269" s="86" t="s">
        <v>120</v>
      </c>
      <c r="F269" s="86">
        <v>5.0</v>
      </c>
      <c r="G269" s="87">
        <v>400.0</v>
      </c>
      <c r="H269" s="88">
        <f t="shared" si="2"/>
        <v>2000</v>
      </c>
      <c r="I269" s="61"/>
      <c r="J269" s="6"/>
    </row>
    <row r="270">
      <c r="E270" s="86" t="s">
        <v>104</v>
      </c>
      <c r="F270" s="86">
        <v>1.0</v>
      </c>
      <c r="G270" s="87">
        <v>220.0</v>
      </c>
      <c r="H270" s="88">
        <f t="shared" si="2"/>
        <v>220</v>
      </c>
      <c r="I270" s="61"/>
      <c r="J270" s="6"/>
    </row>
    <row r="271">
      <c r="E271" s="86" t="s">
        <v>239</v>
      </c>
      <c r="F271" s="86">
        <v>1.0</v>
      </c>
      <c r="G271" s="87">
        <v>330.0</v>
      </c>
      <c r="H271" s="88">
        <f t="shared" si="2"/>
        <v>330</v>
      </c>
      <c r="I271" s="61"/>
      <c r="J271" s="6"/>
    </row>
    <row r="272">
      <c r="E272" s="86" t="s">
        <v>128</v>
      </c>
      <c r="F272" s="86">
        <v>5.0</v>
      </c>
      <c r="G272" s="87">
        <v>100.0</v>
      </c>
      <c r="H272" s="88">
        <f t="shared" si="2"/>
        <v>500</v>
      </c>
      <c r="I272" s="94">
        <v>45734.0</v>
      </c>
      <c r="J272" s="6"/>
    </row>
    <row r="273">
      <c r="E273" s="86" t="s">
        <v>222</v>
      </c>
      <c r="F273" s="86">
        <v>1.0</v>
      </c>
      <c r="G273" s="87">
        <v>500.0</v>
      </c>
      <c r="H273" s="88">
        <f t="shared" si="2"/>
        <v>500</v>
      </c>
      <c r="I273" s="61"/>
      <c r="J273" s="6"/>
    </row>
    <row r="274">
      <c r="E274" s="86" t="s">
        <v>186</v>
      </c>
      <c r="F274" s="86">
        <v>6.0</v>
      </c>
      <c r="G274" s="87">
        <v>85.0</v>
      </c>
      <c r="H274" s="88">
        <f t="shared" si="2"/>
        <v>510</v>
      </c>
      <c r="I274" s="61"/>
      <c r="J274" s="6"/>
    </row>
    <row r="275">
      <c r="E275" s="86" t="s">
        <v>240</v>
      </c>
      <c r="F275" s="86">
        <v>6.0</v>
      </c>
      <c r="G275" s="87">
        <v>85.0</v>
      </c>
      <c r="H275" s="88">
        <f t="shared" si="2"/>
        <v>510</v>
      </c>
      <c r="I275" s="61"/>
      <c r="J275" s="6"/>
    </row>
    <row r="276">
      <c r="E276" s="86" t="s">
        <v>132</v>
      </c>
      <c r="F276" s="86">
        <v>6.0</v>
      </c>
      <c r="G276" s="87">
        <v>220.0</v>
      </c>
      <c r="H276" s="88">
        <f t="shared" si="2"/>
        <v>1320</v>
      </c>
      <c r="I276" s="61"/>
      <c r="J276" s="6"/>
    </row>
    <row r="277">
      <c r="E277" s="86" t="s">
        <v>241</v>
      </c>
      <c r="F277" s="86">
        <v>9.0</v>
      </c>
      <c r="G277" s="87">
        <v>200.0</v>
      </c>
      <c r="H277" s="88">
        <f t="shared" si="2"/>
        <v>1800</v>
      </c>
      <c r="I277" s="61"/>
      <c r="J277" s="6"/>
    </row>
    <row r="278">
      <c r="E278" s="86" t="s">
        <v>242</v>
      </c>
      <c r="F278" s="86">
        <v>16.0</v>
      </c>
      <c r="G278" s="87">
        <v>50.0</v>
      </c>
      <c r="H278" s="88">
        <f t="shared" si="2"/>
        <v>800</v>
      </c>
      <c r="I278" s="61"/>
      <c r="J278" s="6"/>
    </row>
    <row r="279">
      <c r="E279" s="86" t="s">
        <v>243</v>
      </c>
      <c r="F279" s="86">
        <v>2.0</v>
      </c>
      <c r="G279" s="87">
        <v>100.0</v>
      </c>
      <c r="H279" s="88">
        <f t="shared" si="2"/>
        <v>200</v>
      </c>
      <c r="I279" s="61"/>
      <c r="J279" s="6"/>
    </row>
    <row r="280">
      <c r="E280" s="86" t="s">
        <v>231</v>
      </c>
      <c r="F280" s="86">
        <v>10.0</v>
      </c>
      <c r="G280" s="87">
        <v>700.0</v>
      </c>
      <c r="H280" s="88">
        <f t="shared" si="2"/>
        <v>7000</v>
      </c>
      <c r="I280" s="61"/>
      <c r="J280" s="6"/>
    </row>
    <row r="281">
      <c r="E281" s="103" t="s">
        <v>244</v>
      </c>
      <c r="F281" s="103">
        <v>1.0</v>
      </c>
      <c r="G281" s="104">
        <v>34000.0</v>
      </c>
      <c r="H281" s="105">
        <f t="shared" si="2"/>
        <v>34000</v>
      </c>
      <c r="I281" s="61"/>
      <c r="J281" s="6"/>
    </row>
    <row r="282">
      <c r="D282" s="106">
        <v>1000.0</v>
      </c>
      <c r="E282" s="107" t="s">
        <v>55</v>
      </c>
      <c r="F282" s="107">
        <v>20.0</v>
      </c>
      <c r="G282" s="108">
        <v>1000.0</v>
      </c>
      <c r="H282" s="109">
        <f t="shared" si="2"/>
        <v>20000</v>
      </c>
      <c r="I282" s="61"/>
      <c r="J282" s="6"/>
    </row>
    <row r="283">
      <c r="E283" s="86" t="s">
        <v>245</v>
      </c>
      <c r="F283" s="86">
        <v>1.0</v>
      </c>
      <c r="G283" s="87">
        <v>2000.0</v>
      </c>
      <c r="H283" s="88">
        <f t="shared" si="2"/>
        <v>2000</v>
      </c>
      <c r="I283" s="61"/>
      <c r="J283" s="6"/>
    </row>
    <row r="284">
      <c r="E284" s="86" t="s">
        <v>148</v>
      </c>
      <c r="F284" s="86">
        <v>0.6</v>
      </c>
      <c r="G284" s="87">
        <v>3500.0</v>
      </c>
      <c r="H284" s="88">
        <f t="shared" si="2"/>
        <v>2100</v>
      </c>
      <c r="I284" s="92"/>
      <c r="J284" s="6"/>
    </row>
    <row r="285">
      <c r="E285" s="86" t="s">
        <v>122</v>
      </c>
      <c r="F285" s="86">
        <v>1.0</v>
      </c>
      <c r="G285" s="87">
        <v>500.0</v>
      </c>
      <c r="H285" s="88">
        <f t="shared" si="2"/>
        <v>500</v>
      </c>
      <c r="I285" s="61"/>
      <c r="J285" s="6"/>
    </row>
    <row r="286">
      <c r="E286" s="86" t="s">
        <v>165</v>
      </c>
      <c r="F286" s="86">
        <v>3.0</v>
      </c>
      <c r="G286" s="87">
        <v>700.0</v>
      </c>
      <c r="H286" s="88">
        <f t="shared" si="2"/>
        <v>2100</v>
      </c>
      <c r="I286" s="94">
        <v>45735.0</v>
      </c>
      <c r="J286" s="6"/>
    </row>
    <row r="287">
      <c r="E287" s="86" t="s">
        <v>122</v>
      </c>
      <c r="F287" s="86">
        <v>4.0</v>
      </c>
      <c r="G287" s="87">
        <v>400.0</v>
      </c>
      <c r="H287" s="88">
        <f t="shared" si="2"/>
        <v>1600</v>
      </c>
      <c r="I287" s="61"/>
      <c r="J287" s="6"/>
    </row>
    <row r="288">
      <c r="E288" s="86" t="s">
        <v>246</v>
      </c>
      <c r="F288" s="86">
        <v>6.0</v>
      </c>
      <c r="G288" s="87">
        <v>120.0</v>
      </c>
      <c r="H288" s="88">
        <f t="shared" si="2"/>
        <v>720</v>
      </c>
      <c r="I288" s="61"/>
      <c r="J288" s="6"/>
    </row>
    <row r="289">
      <c r="E289" s="86" t="s">
        <v>247</v>
      </c>
      <c r="F289" s="86">
        <v>2.0</v>
      </c>
      <c r="G289" s="87">
        <v>220.0</v>
      </c>
      <c r="H289" s="88">
        <f t="shared" si="2"/>
        <v>440</v>
      </c>
      <c r="I289" s="61"/>
      <c r="J289" s="6"/>
    </row>
    <row r="290">
      <c r="E290" s="86" t="s">
        <v>67</v>
      </c>
      <c r="F290" s="86">
        <v>1.0</v>
      </c>
      <c r="G290" s="87">
        <v>150.0</v>
      </c>
      <c r="H290" s="88">
        <f t="shared" si="2"/>
        <v>150</v>
      </c>
      <c r="I290" s="61"/>
      <c r="J290" s="6"/>
    </row>
    <row r="291">
      <c r="E291" s="86" t="s">
        <v>248</v>
      </c>
      <c r="F291" s="86">
        <v>0.25</v>
      </c>
      <c r="G291" s="87">
        <v>1400.0</v>
      </c>
      <c r="H291" s="88">
        <f t="shared" si="2"/>
        <v>350</v>
      </c>
      <c r="I291" s="61"/>
      <c r="J291" s="6"/>
    </row>
    <row r="292">
      <c r="E292" s="86" t="s">
        <v>249</v>
      </c>
      <c r="F292" s="86">
        <v>0.2</v>
      </c>
      <c r="G292" s="87">
        <v>500.0</v>
      </c>
      <c r="H292" s="88">
        <f t="shared" si="2"/>
        <v>100</v>
      </c>
      <c r="I292" s="61"/>
      <c r="J292" s="6"/>
    </row>
    <row r="293">
      <c r="E293" s="86" t="s">
        <v>250</v>
      </c>
      <c r="F293" s="86">
        <v>20.0</v>
      </c>
      <c r="G293" s="87">
        <v>2450.0</v>
      </c>
      <c r="H293" s="88">
        <f t="shared" si="2"/>
        <v>49000</v>
      </c>
      <c r="I293" s="61"/>
      <c r="J293" s="6"/>
    </row>
    <row r="294">
      <c r="E294" s="86" t="s">
        <v>251</v>
      </c>
      <c r="F294" s="86">
        <v>10.0</v>
      </c>
      <c r="G294" s="87">
        <v>1700.0</v>
      </c>
      <c r="H294" s="88">
        <f t="shared" si="2"/>
        <v>17000</v>
      </c>
      <c r="I294" s="61"/>
      <c r="J294" s="6"/>
    </row>
    <row r="295">
      <c r="E295" s="86" t="s">
        <v>252</v>
      </c>
      <c r="F295" s="86">
        <v>2.0</v>
      </c>
      <c r="G295" s="87">
        <v>2300.0</v>
      </c>
      <c r="H295" s="88">
        <f t="shared" si="2"/>
        <v>4600</v>
      </c>
      <c r="I295" s="61"/>
      <c r="J295" s="6"/>
    </row>
    <row r="296">
      <c r="E296" s="86" t="s">
        <v>253</v>
      </c>
      <c r="F296" s="86">
        <v>2.0</v>
      </c>
      <c r="G296" s="87">
        <v>430.0</v>
      </c>
      <c r="H296" s="88">
        <f t="shared" si="2"/>
        <v>860</v>
      </c>
      <c r="I296" s="61"/>
      <c r="J296" s="6"/>
    </row>
    <row r="297">
      <c r="E297" s="86" t="s">
        <v>75</v>
      </c>
      <c r="F297" s="86">
        <v>0.3</v>
      </c>
      <c r="G297" s="87">
        <v>5400.0</v>
      </c>
      <c r="H297" s="88">
        <f t="shared" si="2"/>
        <v>1620</v>
      </c>
      <c r="I297" s="61"/>
      <c r="J297" s="6"/>
    </row>
    <row r="298">
      <c r="E298" s="86" t="s">
        <v>254</v>
      </c>
      <c r="F298" s="86">
        <v>8.0</v>
      </c>
      <c r="G298" s="87">
        <v>250.0</v>
      </c>
      <c r="H298" s="88">
        <f t="shared" si="2"/>
        <v>2000</v>
      </c>
      <c r="I298" s="61"/>
      <c r="J298" s="6"/>
    </row>
    <row r="299">
      <c r="E299" s="86" t="s">
        <v>255</v>
      </c>
      <c r="F299" s="86">
        <v>2.0</v>
      </c>
      <c r="G299" s="87">
        <v>1320.0</v>
      </c>
      <c r="H299" s="88">
        <f t="shared" si="2"/>
        <v>2640</v>
      </c>
      <c r="I299" s="61"/>
      <c r="J299" s="6"/>
    </row>
    <row r="300">
      <c r="E300" s="86" t="s">
        <v>256</v>
      </c>
      <c r="F300" s="86">
        <v>0.25</v>
      </c>
      <c r="G300" s="87">
        <v>2750.0</v>
      </c>
      <c r="H300" s="88">
        <f t="shared" si="2"/>
        <v>687.5</v>
      </c>
      <c r="I300" s="61"/>
      <c r="J300" s="6"/>
    </row>
    <row r="301">
      <c r="E301" s="86" t="s">
        <v>257</v>
      </c>
      <c r="F301" s="86">
        <v>1.0</v>
      </c>
      <c r="G301" s="87">
        <v>650.0</v>
      </c>
      <c r="H301" s="88">
        <f t="shared" si="2"/>
        <v>650</v>
      </c>
      <c r="I301" s="61"/>
      <c r="J301" s="6"/>
    </row>
    <row r="302">
      <c r="E302" s="86" t="s">
        <v>158</v>
      </c>
      <c r="F302" s="86">
        <v>40.0</v>
      </c>
      <c r="G302" s="87">
        <v>120.0</v>
      </c>
      <c r="H302" s="88">
        <f t="shared" si="2"/>
        <v>4800</v>
      </c>
      <c r="I302" s="61"/>
      <c r="J302" s="6"/>
    </row>
    <row r="303">
      <c r="E303" s="86" t="s">
        <v>93</v>
      </c>
      <c r="F303" s="86">
        <v>36.0</v>
      </c>
      <c r="G303" s="87">
        <v>65.0</v>
      </c>
      <c r="H303" s="88">
        <f t="shared" si="2"/>
        <v>2340</v>
      </c>
      <c r="I303" s="61"/>
      <c r="J303" s="6"/>
    </row>
    <row r="304">
      <c r="E304" s="86" t="s">
        <v>83</v>
      </c>
      <c r="F304" s="86">
        <v>1.0</v>
      </c>
      <c r="G304" s="87">
        <v>1750.0</v>
      </c>
      <c r="H304" s="88">
        <f t="shared" si="2"/>
        <v>1750</v>
      </c>
      <c r="I304" s="61"/>
      <c r="J304" s="6"/>
    </row>
    <row r="305">
      <c r="E305" s="86" t="s">
        <v>258</v>
      </c>
      <c r="F305" s="86">
        <v>65.0</v>
      </c>
      <c r="G305" s="87">
        <v>87.0</v>
      </c>
      <c r="H305" s="88">
        <f t="shared" si="2"/>
        <v>5655</v>
      </c>
      <c r="I305" s="61"/>
      <c r="J305" s="6"/>
    </row>
    <row r="306">
      <c r="E306" s="86" t="s">
        <v>259</v>
      </c>
      <c r="F306" s="86">
        <v>6.0</v>
      </c>
      <c r="G306" s="87">
        <v>240.0</v>
      </c>
      <c r="H306" s="88">
        <f t="shared" si="2"/>
        <v>1440</v>
      </c>
      <c r="I306" s="61"/>
      <c r="J306" s="6"/>
    </row>
    <row r="307">
      <c r="E307" s="86" t="s">
        <v>260</v>
      </c>
      <c r="F307" s="86">
        <v>32.0</v>
      </c>
      <c r="G307" s="87">
        <v>270.0</v>
      </c>
      <c r="H307" s="88">
        <f t="shared" si="2"/>
        <v>8640</v>
      </c>
      <c r="I307" s="61"/>
      <c r="J307" s="6"/>
    </row>
    <row r="308">
      <c r="E308" s="86" t="s">
        <v>96</v>
      </c>
      <c r="F308" s="86">
        <v>5.0</v>
      </c>
      <c r="G308" s="87">
        <v>90.0</v>
      </c>
      <c r="H308" s="88">
        <f t="shared" si="2"/>
        <v>450</v>
      </c>
      <c r="I308" s="61"/>
      <c r="J308" s="6"/>
    </row>
    <row r="309">
      <c r="E309" s="86" t="s">
        <v>261</v>
      </c>
      <c r="F309" s="86">
        <v>4.0</v>
      </c>
      <c r="G309" s="87">
        <v>150.0</v>
      </c>
      <c r="H309" s="88">
        <f t="shared" si="2"/>
        <v>600</v>
      </c>
      <c r="I309" s="61"/>
      <c r="J309" s="6"/>
    </row>
    <row r="310">
      <c r="E310" s="86" t="s">
        <v>262</v>
      </c>
      <c r="F310" s="86">
        <v>1.0</v>
      </c>
      <c r="G310" s="87">
        <v>380.0</v>
      </c>
      <c r="H310" s="88">
        <f t="shared" si="2"/>
        <v>380</v>
      </c>
      <c r="I310" s="61"/>
      <c r="J310" s="6"/>
    </row>
    <row r="311">
      <c r="E311" s="86" t="s">
        <v>263</v>
      </c>
      <c r="F311" s="86">
        <v>1.0</v>
      </c>
      <c r="G311" s="87">
        <v>140.0</v>
      </c>
      <c r="H311" s="88">
        <f t="shared" si="2"/>
        <v>140</v>
      </c>
      <c r="I311" s="61"/>
      <c r="J311" s="6"/>
    </row>
    <row r="312">
      <c r="E312" s="86" t="s">
        <v>146</v>
      </c>
      <c r="F312" s="86">
        <v>150.0</v>
      </c>
      <c r="G312" s="87">
        <v>100.0</v>
      </c>
      <c r="H312" s="88">
        <f t="shared" si="2"/>
        <v>15000</v>
      </c>
      <c r="I312" s="110">
        <v>45737.0</v>
      </c>
      <c r="J312" s="6"/>
    </row>
    <row r="313">
      <c r="E313" s="86" t="s">
        <v>144</v>
      </c>
      <c r="F313" s="86">
        <v>2.0</v>
      </c>
      <c r="G313" s="87">
        <v>1000.0</v>
      </c>
      <c r="H313" s="88">
        <f t="shared" si="2"/>
        <v>2000</v>
      </c>
      <c r="I313" s="61"/>
      <c r="J313" s="6"/>
    </row>
    <row r="314">
      <c r="E314" s="86" t="s">
        <v>264</v>
      </c>
      <c r="F314" s="86">
        <v>1.0</v>
      </c>
      <c r="G314" s="87">
        <v>1200.0</v>
      </c>
      <c r="H314" s="88">
        <f t="shared" si="2"/>
        <v>1200</v>
      </c>
      <c r="I314" s="61"/>
      <c r="J314" s="6"/>
    </row>
    <row r="315">
      <c r="E315" s="86" t="s">
        <v>265</v>
      </c>
      <c r="F315" s="86">
        <v>8.0</v>
      </c>
      <c r="G315" s="87">
        <v>700.0</v>
      </c>
      <c r="H315" s="88">
        <f t="shared" si="2"/>
        <v>5600</v>
      </c>
      <c r="I315" s="61"/>
      <c r="J315" s="6"/>
    </row>
    <row r="316">
      <c r="E316" s="86" t="s">
        <v>122</v>
      </c>
      <c r="F316" s="86">
        <v>5.0</v>
      </c>
      <c r="G316" s="87">
        <v>400.0</v>
      </c>
      <c r="H316" s="88">
        <f t="shared" si="2"/>
        <v>2000</v>
      </c>
      <c r="I316" s="61"/>
      <c r="J316" s="6"/>
    </row>
    <row r="317">
      <c r="E317" s="24" t="s">
        <v>110</v>
      </c>
      <c r="F317" s="24">
        <v>1.0</v>
      </c>
      <c r="G317" s="11">
        <v>1300.0</v>
      </c>
      <c r="H317" s="75">
        <f t="shared" si="2"/>
        <v>1300</v>
      </c>
      <c r="I317" s="76"/>
      <c r="J317" s="6"/>
    </row>
    <row r="318">
      <c r="E318" s="24" t="s">
        <v>266</v>
      </c>
      <c r="F318" s="24">
        <v>0.5</v>
      </c>
      <c r="G318" s="11">
        <v>480.0</v>
      </c>
      <c r="H318" s="75">
        <f t="shared" si="2"/>
        <v>240</v>
      </c>
      <c r="I318" s="76"/>
      <c r="J318" s="6"/>
    </row>
    <row r="319">
      <c r="E319" s="24" t="s">
        <v>267</v>
      </c>
      <c r="F319" s="24">
        <v>6.0</v>
      </c>
      <c r="G319" s="11">
        <v>700.0</v>
      </c>
      <c r="H319" s="75">
        <f t="shared" si="2"/>
        <v>4200</v>
      </c>
      <c r="I319" s="76"/>
      <c r="J319" s="6"/>
    </row>
    <row r="320">
      <c r="E320" s="24" t="s">
        <v>268</v>
      </c>
      <c r="F320" s="24">
        <v>40.0</v>
      </c>
      <c r="G320" s="11">
        <v>50.0</v>
      </c>
      <c r="H320" s="75">
        <f t="shared" si="2"/>
        <v>2000</v>
      </c>
      <c r="I320" s="76"/>
      <c r="J320" s="6"/>
    </row>
    <row r="321">
      <c r="E321" s="24" t="s">
        <v>123</v>
      </c>
      <c r="F321" s="24">
        <v>4.0</v>
      </c>
      <c r="G321" s="11">
        <v>50.0</v>
      </c>
      <c r="H321" s="75">
        <f t="shared" si="2"/>
        <v>200</v>
      </c>
      <c r="I321" s="76"/>
      <c r="J321" s="6"/>
    </row>
    <row r="322">
      <c r="E322" s="24" t="s">
        <v>186</v>
      </c>
      <c r="F322" s="24">
        <v>2.5</v>
      </c>
      <c r="G322" s="11">
        <v>80.0</v>
      </c>
      <c r="H322" s="75">
        <f t="shared" si="2"/>
        <v>200</v>
      </c>
      <c r="I322" s="76"/>
      <c r="J322" s="6"/>
    </row>
    <row r="323">
      <c r="E323" s="24" t="s">
        <v>97</v>
      </c>
      <c r="F323" s="24">
        <v>2.0</v>
      </c>
      <c r="G323" s="11">
        <v>350.0</v>
      </c>
      <c r="H323" s="75">
        <f t="shared" si="2"/>
        <v>700</v>
      </c>
      <c r="I323" s="76"/>
      <c r="J323" s="6"/>
    </row>
    <row r="324">
      <c r="E324" s="24" t="s">
        <v>269</v>
      </c>
      <c r="F324" s="24">
        <v>1.0</v>
      </c>
      <c r="G324" s="11">
        <v>140.0</v>
      </c>
      <c r="H324" s="75">
        <f t="shared" si="2"/>
        <v>140</v>
      </c>
      <c r="I324" s="76"/>
      <c r="J324" s="6"/>
    </row>
    <row r="325">
      <c r="E325" s="24" t="s">
        <v>270</v>
      </c>
      <c r="F325" s="24">
        <v>2.0</v>
      </c>
      <c r="G325" s="11">
        <v>85.0</v>
      </c>
      <c r="H325" s="75">
        <f t="shared" si="2"/>
        <v>170</v>
      </c>
      <c r="I325" s="76"/>
      <c r="J325" s="6"/>
    </row>
    <row r="326">
      <c r="E326" s="24" t="s">
        <v>271</v>
      </c>
      <c r="F326" s="24">
        <v>2.0</v>
      </c>
      <c r="G326" s="11">
        <v>130.0</v>
      </c>
      <c r="H326" s="75">
        <f t="shared" si="2"/>
        <v>260</v>
      </c>
      <c r="I326" s="76"/>
      <c r="J326" s="6"/>
    </row>
    <row r="327">
      <c r="E327" s="24" t="s">
        <v>272</v>
      </c>
      <c r="F327" s="24">
        <v>3.0</v>
      </c>
      <c r="G327" s="11">
        <v>100.0</v>
      </c>
      <c r="H327" s="75">
        <f t="shared" si="2"/>
        <v>300</v>
      </c>
      <c r="I327" s="76"/>
      <c r="J327" s="6"/>
    </row>
    <row r="328">
      <c r="E328" s="24" t="s">
        <v>273</v>
      </c>
      <c r="F328" s="24">
        <v>1.0</v>
      </c>
      <c r="G328" s="11">
        <v>250.0</v>
      </c>
      <c r="H328" s="75">
        <f t="shared" si="2"/>
        <v>250</v>
      </c>
      <c r="I328" s="76"/>
      <c r="J328" s="6"/>
    </row>
    <row r="329">
      <c r="E329" s="24" t="s">
        <v>127</v>
      </c>
      <c r="F329" s="24">
        <v>1.0</v>
      </c>
      <c r="G329" s="11">
        <v>350.0</v>
      </c>
      <c r="H329" s="75">
        <f t="shared" si="2"/>
        <v>350</v>
      </c>
      <c r="I329" s="76"/>
      <c r="J329" s="6"/>
    </row>
    <row r="330">
      <c r="E330" s="24" t="s">
        <v>155</v>
      </c>
      <c r="F330" s="24">
        <v>4.0</v>
      </c>
      <c r="G330" s="11">
        <v>400.0</v>
      </c>
      <c r="H330" s="75">
        <f t="shared" si="2"/>
        <v>1600</v>
      </c>
      <c r="I330" s="76"/>
      <c r="J330" s="6"/>
    </row>
    <row r="331">
      <c r="E331" s="24" t="s">
        <v>198</v>
      </c>
      <c r="F331" s="24">
        <v>2.5</v>
      </c>
      <c r="G331" s="11">
        <v>200.0</v>
      </c>
      <c r="H331" s="75">
        <f t="shared" si="2"/>
        <v>500</v>
      </c>
      <c r="I331" s="76"/>
      <c r="J331" s="6"/>
    </row>
    <row r="332">
      <c r="E332" s="24" t="s">
        <v>274</v>
      </c>
      <c r="F332" s="24">
        <v>9.0</v>
      </c>
      <c r="G332" s="11">
        <v>100.0</v>
      </c>
      <c r="H332" s="75">
        <f t="shared" si="2"/>
        <v>900</v>
      </c>
      <c r="I332" s="76"/>
      <c r="J332" s="6"/>
    </row>
    <row r="333">
      <c r="E333" s="24" t="s">
        <v>180</v>
      </c>
      <c r="F333" s="24">
        <v>2.0</v>
      </c>
      <c r="G333" s="11">
        <v>120.0</v>
      </c>
      <c r="H333" s="75">
        <f t="shared" si="2"/>
        <v>240</v>
      </c>
      <c r="I333" s="76"/>
      <c r="J333" s="6"/>
    </row>
    <row r="334">
      <c r="E334" s="24" t="s">
        <v>246</v>
      </c>
      <c r="F334" s="24">
        <v>4.0</v>
      </c>
      <c r="G334" s="11">
        <v>120.0</v>
      </c>
      <c r="H334" s="75">
        <f t="shared" si="2"/>
        <v>480</v>
      </c>
      <c r="I334" s="76"/>
      <c r="J334" s="6"/>
    </row>
    <row r="335">
      <c r="E335" s="24" t="s">
        <v>275</v>
      </c>
      <c r="F335" s="24">
        <v>50.0</v>
      </c>
      <c r="G335" s="11">
        <v>53.0</v>
      </c>
      <c r="H335" s="75">
        <f t="shared" si="2"/>
        <v>2650</v>
      </c>
      <c r="I335" s="76"/>
      <c r="J335" s="6"/>
    </row>
    <row r="336">
      <c r="E336" s="24" t="s">
        <v>276</v>
      </c>
      <c r="F336" s="24">
        <v>2.0</v>
      </c>
      <c r="G336" s="11">
        <v>1100.0</v>
      </c>
      <c r="H336" s="75">
        <f t="shared" si="2"/>
        <v>2200</v>
      </c>
      <c r="I336" s="76"/>
      <c r="J336" s="6"/>
    </row>
    <row r="337">
      <c r="E337" s="24" t="s">
        <v>277</v>
      </c>
      <c r="F337" s="24">
        <v>2.0</v>
      </c>
      <c r="G337" s="11">
        <v>160.0</v>
      </c>
      <c r="H337" s="75">
        <f t="shared" si="2"/>
        <v>320</v>
      </c>
      <c r="I337" s="10">
        <v>45738.0</v>
      </c>
      <c r="J337" s="6"/>
    </row>
    <row r="338">
      <c r="E338" s="24" t="s">
        <v>278</v>
      </c>
      <c r="F338" s="24">
        <v>0.3</v>
      </c>
      <c r="G338" s="11">
        <v>1500.0</v>
      </c>
      <c r="H338" s="75">
        <f t="shared" si="2"/>
        <v>450</v>
      </c>
      <c r="I338" s="76"/>
      <c r="J338" s="6"/>
    </row>
    <row r="339">
      <c r="E339" s="24" t="s">
        <v>279</v>
      </c>
      <c r="F339" s="24">
        <v>10.0</v>
      </c>
      <c r="G339" s="11">
        <v>20.0</v>
      </c>
      <c r="H339" s="75">
        <f t="shared" si="2"/>
        <v>200</v>
      </c>
      <c r="I339" s="76"/>
      <c r="J339" s="6"/>
    </row>
    <row r="340">
      <c r="E340" s="24" t="s">
        <v>280</v>
      </c>
      <c r="F340" s="24">
        <v>1.0</v>
      </c>
      <c r="G340" s="11">
        <v>1000.0</v>
      </c>
      <c r="H340" s="75">
        <f t="shared" si="2"/>
        <v>1000</v>
      </c>
      <c r="I340" s="76"/>
      <c r="J340" s="6"/>
    </row>
    <row r="341">
      <c r="E341" s="24" t="s">
        <v>128</v>
      </c>
      <c r="F341" s="24">
        <v>19.0</v>
      </c>
      <c r="G341" s="11">
        <v>100.0</v>
      </c>
      <c r="H341" s="75">
        <f t="shared" si="2"/>
        <v>1900</v>
      </c>
      <c r="I341" s="76"/>
      <c r="J341" s="6"/>
    </row>
    <row r="342">
      <c r="E342" s="24" t="s">
        <v>180</v>
      </c>
      <c r="F342" s="24">
        <v>2.0</v>
      </c>
      <c r="G342" s="11">
        <v>120.0</v>
      </c>
      <c r="H342" s="75">
        <f t="shared" si="2"/>
        <v>240</v>
      </c>
      <c r="I342" s="76"/>
      <c r="J342" s="6"/>
    </row>
    <row r="343">
      <c r="E343" s="24" t="s">
        <v>281</v>
      </c>
      <c r="F343" s="24">
        <v>0.5</v>
      </c>
      <c r="G343" s="11">
        <v>1400.0</v>
      </c>
      <c r="H343" s="75">
        <f t="shared" si="2"/>
        <v>700</v>
      </c>
      <c r="I343" s="76"/>
      <c r="J343" s="6"/>
    </row>
    <row r="344">
      <c r="E344" s="24" t="s">
        <v>282</v>
      </c>
      <c r="F344" s="24">
        <v>1.0</v>
      </c>
      <c r="G344" s="11">
        <v>150.0</v>
      </c>
      <c r="H344" s="75">
        <f t="shared" si="2"/>
        <v>150</v>
      </c>
      <c r="I344" s="76"/>
      <c r="J344" s="6"/>
    </row>
    <row r="345">
      <c r="E345" s="24" t="s">
        <v>232</v>
      </c>
      <c r="F345" s="24">
        <v>15.0</v>
      </c>
      <c r="G345" s="11">
        <v>200.0</v>
      </c>
      <c r="H345" s="75">
        <f t="shared" si="2"/>
        <v>3000</v>
      </c>
      <c r="I345" s="76"/>
      <c r="J345" s="6"/>
    </row>
    <row r="346">
      <c r="E346" s="24" t="s">
        <v>122</v>
      </c>
      <c r="F346" s="24">
        <v>5.0</v>
      </c>
      <c r="G346" s="11">
        <v>350.0</v>
      </c>
      <c r="H346" s="75">
        <f t="shared" si="2"/>
        <v>1750</v>
      </c>
      <c r="I346" s="76"/>
      <c r="J346" s="6"/>
    </row>
    <row r="347">
      <c r="E347" s="24" t="s">
        <v>246</v>
      </c>
      <c r="F347" s="24">
        <v>5.0</v>
      </c>
      <c r="G347" s="11">
        <v>120.0</v>
      </c>
      <c r="H347" s="75">
        <f t="shared" si="2"/>
        <v>600</v>
      </c>
      <c r="I347" s="76"/>
      <c r="J347" s="6"/>
    </row>
    <row r="348">
      <c r="E348" s="24" t="s">
        <v>283</v>
      </c>
      <c r="F348" s="24">
        <v>5.0</v>
      </c>
      <c r="G348" s="11">
        <v>200.0</v>
      </c>
      <c r="H348" s="75">
        <f t="shared" si="2"/>
        <v>1000</v>
      </c>
      <c r="I348" s="76"/>
      <c r="J348" s="6"/>
    </row>
    <row r="349">
      <c r="E349" s="24" t="s">
        <v>284</v>
      </c>
      <c r="F349" s="24">
        <v>0.1</v>
      </c>
      <c r="G349" s="11">
        <v>1000.0</v>
      </c>
      <c r="H349" s="75">
        <f t="shared" si="2"/>
        <v>100</v>
      </c>
      <c r="I349" s="76"/>
      <c r="J349" s="6"/>
    </row>
    <row r="350">
      <c r="E350" s="24" t="s">
        <v>285</v>
      </c>
      <c r="F350" s="24">
        <v>2.0</v>
      </c>
      <c r="G350" s="11">
        <v>130.0</v>
      </c>
      <c r="H350" s="75">
        <f t="shared" si="2"/>
        <v>260</v>
      </c>
      <c r="I350" s="76"/>
      <c r="J350" s="6"/>
    </row>
    <row r="351">
      <c r="E351" s="24" t="s">
        <v>286</v>
      </c>
      <c r="F351" s="24">
        <v>3.0</v>
      </c>
      <c r="G351" s="11">
        <v>100.0</v>
      </c>
      <c r="H351" s="75">
        <f t="shared" si="2"/>
        <v>300</v>
      </c>
      <c r="I351" s="76"/>
      <c r="J351" s="6"/>
    </row>
    <row r="352">
      <c r="E352" s="24" t="s">
        <v>287</v>
      </c>
      <c r="F352" s="24">
        <v>5.0</v>
      </c>
      <c r="G352" s="11">
        <v>15.0</v>
      </c>
      <c r="H352" s="75">
        <f t="shared" si="2"/>
        <v>75</v>
      </c>
      <c r="I352" s="76"/>
      <c r="J352" s="6"/>
    </row>
    <row r="353">
      <c r="E353" s="24" t="s">
        <v>169</v>
      </c>
      <c r="F353" s="24">
        <v>2.0</v>
      </c>
      <c r="G353" s="11">
        <v>210.0</v>
      </c>
      <c r="H353" s="75">
        <f t="shared" si="2"/>
        <v>420</v>
      </c>
      <c r="I353" s="76"/>
      <c r="J353" s="6"/>
    </row>
    <row r="354">
      <c r="E354" s="24" t="s">
        <v>288</v>
      </c>
      <c r="F354" s="24">
        <v>1.0</v>
      </c>
      <c r="G354" s="11">
        <v>1400.0</v>
      </c>
      <c r="H354" s="75">
        <f t="shared" si="2"/>
        <v>1400</v>
      </c>
      <c r="I354" s="76"/>
      <c r="J354" s="6"/>
    </row>
    <row r="355">
      <c r="E355" s="24" t="s">
        <v>97</v>
      </c>
      <c r="F355" s="24">
        <v>2.0</v>
      </c>
      <c r="G355" s="11">
        <v>350.0</v>
      </c>
      <c r="H355" s="75">
        <f t="shared" si="2"/>
        <v>700</v>
      </c>
      <c r="I355" s="10">
        <v>45740.0</v>
      </c>
      <c r="J355" s="6"/>
    </row>
    <row r="356">
      <c r="E356" s="24" t="s">
        <v>246</v>
      </c>
      <c r="F356" s="24">
        <v>2.0</v>
      </c>
      <c r="G356" s="11">
        <v>100.0</v>
      </c>
      <c r="H356" s="75">
        <f t="shared" si="2"/>
        <v>200</v>
      </c>
      <c r="I356" s="76"/>
      <c r="J356" s="6"/>
    </row>
    <row r="357">
      <c r="E357" s="24" t="s">
        <v>130</v>
      </c>
      <c r="F357" s="24">
        <v>1.0</v>
      </c>
      <c r="G357" s="11">
        <v>50.0</v>
      </c>
      <c r="H357" s="75">
        <f t="shared" si="2"/>
        <v>50</v>
      </c>
      <c r="I357" s="76"/>
      <c r="J357" s="6"/>
    </row>
    <row r="358">
      <c r="E358" s="24" t="s">
        <v>289</v>
      </c>
      <c r="F358" s="24">
        <v>1.0</v>
      </c>
      <c r="G358" s="11">
        <v>1000.0</v>
      </c>
      <c r="H358" s="75">
        <f t="shared" si="2"/>
        <v>1000</v>
      </c>
      <c r="I358" s="76"/>
      <c r="J358" s="6"/>
    </row>
    <row r="359">
      <c r="E359" s="24" t="s">
        <v>290</v>
      </c>
      <c r="F359" s="24">
        <v>8.0</v>
      </c>
      <c r="G359" s="11">
        <v>145.0</v>
      </c>
      <c r="H359" s="75">
        <f t="shared" si="2"/>
        <v>1160</v>
      </c>
      <c r="I359" s="10">
        <v>45741.0</v>
      </c>
      <c r="J359" s="6"/>
    </row>
    <row r="360">
      <c r="E360" s="24" t="s">
        <v>291</v>
      </c>
      <c r="F360" s="24">
        <v>16.0</v>
      </c>
      <c r="G360" s="11">
        <v>140.0</v>
      </c>
      <c r="H360" s="75">
        <f t="shared" si="2"/>
        <v>2240</v>
      </c>
      <c r="I360" s="76"/>
      <c r="J360" s="6"/>
    </row>
    <row r="361">
      <c r="E361" s="24" t="s">
        <v>292</v>
      </c>
      <c r="F361" s="24">
        <v>2.0</v>
      </c>
      <c r="G361" s="11">
        <v>200.0</v>
      </c>
      <c r="H361" s="75">
        <f t="shared" si="2"/>
        <v>400</v>
      </c>
      <c r="I361" s="76"/>
      <c r="J361" s="6"/>
    </row>
    <row r="362">
      <c r="E362" s="24" t="s">
        <v>293</v>
      </c>
      <c r="F362" s="24">
        <v>1.0</v>
      </c>
      <c r="G362" s="11">
        <v>100.0</v>
      </c>
      <c r="H362" s="111">
        <v>1.0</v>
      </c>
      <c r="I362" s="24">
        <v>50.0</v>
      </c>
      <c r="J362" s="6"/>
    </row>
    <row r="363">
      <c r="E363" s="24" t="s">
        <v>172</v>
      </c>
      <c r="F363" s="24">
        <v>1.0</v>
      </c>
      <c r="G363" s="11">
        <v>50.0</v>
      </c>
      <c r="H363" s="75">
        <f t="shared" ref="H363:H384" si="3">F363*G363</f>
        <v>50</v>
      </c>
      <c r="I363" s="76"/>
      <c r="J363" s="6"/>
    </row>
    <row r="364">
      <c r="E364" s="24" t="s">
        <v>128</v>
      </c>
      <c r="F364" s="24">
        <v>4.0</v>
      </c>
      <c r="G364" s="11">
        <v>100.0</v>
      </c>
      <c r="H364" s="75">
        <f t="shared" si="3"/>
        <v>400</v>
      </c>
      <c r="I364" s="76"/>
      <c r="J364" s="6"/>
    </row>
    <row r="365">
      <c r="E365" s="24" t="s">
        <v>246</v>
      </c>
      <c r="F365" s="24">
        <v>23.0</v>
      </c>
      <c r="G365" s="11">
        <v>100.0</v>
      </c>
      <c r="H365" s="75">
        <f t="shared" si="3"/>
        <v>2300</v>
      </c>
      <c r="I365" s="76"/>
      <c r="J365" s="6"/>
    </row>
    <row r="366">
      <c r="E366" s="24" t="s">
        <v>294</v>
      </c>
      <c r="F366" s="24">
        <v>10.0</v>
      </c>
      <c r="G366" s="11">
        <v>130.0</v>
      </c>
      <c r="H366" s="75">
        <f t="shared" si="3"/>
        <v>1300</v>
      </c>
      <c r="I366" s="76"/>
      <c r="J366" s="6"/>
    </row>
    <row r="367">
      <c r="E367" s="24" t="s">
        <v>295</v>
      </c>
      <c r="F367" s="24">
        <v>0.5</v>
      </c>
      <c r="G367" s="11">
        <v>2600.0</v>
      </c>
      <c r="H367" s="75">
        <f t="shared" si="3"/>
        <v>1300</v>
      </c>
      <c r="I367" s="76"/>
      <c r="J367" s="6"/>
    </row>
    <row r="368">
      <c r="E368" s="24" t="s">
        <v>296</v>
      </c>
      <c r="F368" s="24">
        <v>40.0</v>
      </c>
      <c r="G368" s="11">
        <v>53.0</v>
      </c>
      <c r="H368" s="75">
        <f t="shared" si="3"/>
        <v>2120</v>
      </c>
      <c r="I368" s="76"/>
      <c r="J368" s="6"/>
    </row>
    <row r="369">
      <c r="E369" s="24" t="s">
        <v>93</v>
      </c>
      <c r="F369" s="24">
        <v>3.0</v>
      </c>
      <c r="G369" s="11">
        <v>80.0</v>
      </c>
      <c r="H369" s="75">
        <f t="shared" si="3"/>
        <v>240</v>
      </c>
      <c r="I369" s="76"/>
      <c r="J369" s="6"/>
    </row>
    <row r="370">
      <c r="E370" s="24" t="s">
        <v>297</v>
      </c>
      <c r="F370" s="24">
        <v>2.0</v>
      </c>
      <c r="G370" s="11">
        <v>100.0</v>
      </c>
      <c r="H370" s="75">
        <f t="shared" si="3"/>
        <v>200</v>
      </c>
      <c r="I370" s="76"/>
      <c r="J370" s="6"/>
    </row>
    <row r="371">
      <c r="E371" s="24" t="s">
        <v>261</v>
      </c>
      <c r="F371" s="24">
        <v>1.0</v>
      </c>
      <c r="G371" s="11">
        <v>150.0</v>
      </c>
      <c r="H371" s="75">
        <f t="shared" si="3"/>
        <v>150</v>
      </c>
      <c r="I371" s="76"/>
      <c r="J371" s="6"/>
    </row>
    <row r="372">
      <c r="E372" s="24" t="s">
        <v>246</v>
      </c>
      <c r="F372" s="24">
        <v>30.0</v>
      </c>
      <c r="G372" s="11">
        <v>100.0</v>
      </c>
      <c r="H372" s="75">
        <f t="shared" si="3"/>
        <v>3000</v>
      </c>
      <c r="I372" s="10">
        <v>45743.0</v>
      </c>
      <c r="J372" s="6"/>
    </row>
    <row r="373">
      <c r="E373" s="24" t="s">
        <v>246</v>
      </c>
      <c r="F373" s="24">
        <v>10.0</v>
      </c>
      <c r="G373" s="11">
        <v>120.0</v>
      </c>
      <c r="H373" s="75">
        <f t="shared" si="3"/>
        <v>1200</v>
      </c>
      <c r="I373" s="76"/>
      <c r="J373" s="6"/>
    </row>
    <row r="374">
      <c r="E374" s="24" t="s">
        <v>292</v>
      </c>
      <c r="F374" s="24">
        <v>10.0</v>
      </c>
      <c r="G374" s="11">
        <v>180.0</v>
      </c>
      <c r="H374" s="75">
        <f t="shared" si="3"/>
        <v>1800</v>
      </c>
      <c r="I374" s="76"/>
      <c r="J374" s="6"/>
    </row>
    <row r="375">
      <c r="E375" s="24" t="s">
        <v>146</v>
      </c>
      <c r="F375" s="24">
        <v>10.0</v>
      </c>
      <c r="G375" s="11">
        <v>100.0</v>
      </c>
      <c r="H375" s="75">
        <f t="shared" si="3"/>
        <v>1000</v>
      </c>
      <c r="I375" s="76"/>
      <c r="J375" s="6"/>
    </row>
    <row r="376">
      <c r="E376" s="24" t="s">
        <v>298</v>
      </c>
      <c r="F376" s="24">
        <v>32.0</v>
      </c>
      <c r="G376" s="11">
        <v>176.0</v>
      </c>
      <c r="H376" s="75">
        <f t="shared" si="3"/>
        <v>5632</v>
      </c>
      <c r="I376" s="76"/>
      <c r="J376" s="6"/>
    </row>
    <row r="377">
      <c r="E377" s="24" t="s">
        <v>68</v>
      </c>
      <c r="F377" s="24">
        <v>8.0</v>
      </c>
      <c r="G377" s="11">
        <v>800.0</v>
      </c>
      <c r="H377" s="75">
        <f t="shared" si="3"/>
        <v>6400</v>
      </c>
      <c r="I377" s="76"/>
      <c r="J377" s="6"/>
    </row>
    <row r="378">
      <c r="E378" s="24" t="s">
        <v>246</v>
      </c>
      <c r="F378" s="24">
        <v>60.0</v>
      </c>
      <c r="G378" s="11">
        <v>100.0</v>
      </c>
      <c r="H378" s="75">
        <f t="shared" si="3"/>
        <v>6000</v>
      </c>
      <c r="I378" s="76"/>
      <c r="J378" s="6"/>
    </row>
    <row r="379">
      <c r="E379" s="24" t="s">
        <v>246</v>
      </c>
      <c r="F379" s="24">
        <v>40.0</v>
      </c>
      <c r="G379" s="11">
        <v>120.0</v>
      </c>
      <c r="H379" s="75">
        <f t="shared" si="3"/>
        <v>4800</v>
      </c>
      <c r="I379" s="76"/>
      <c r="J379" s="6"/>
    </row>
    <row r="380">
      <c r="E380" s="24" t="s">
        <v>128</v>
      </c>
      <c r="F380" s="24">
        <v>10.0</v>
      </c>
      <c r="G380" s="11">
        <v>100.0</v>
      </c>
      <c r="H380" s="75">
        <f t="shared" si="3"/>
        <v>1000</v>
      </c>
      <c r="I380" s="76"/>
      <c r="J380" s="6"/>
    </row>
    <row r="381">
      <c r="E381" s="24" t="s">
        <v>299</v>
      </c>
      <c r="F381" s="24">
        <v>1.0</v>
      </c>
      <c r="G381" s="11">
        <v>700.0</v>
      </c>
      <c r="H381" s="75">
        <f t="shared" si="3"/>
        <v>700</v>
      </c>
      <c r="I381" s="76"/>
      <c r="J381" s="6"/>
    </row>
    <row r="382">
      <c r="E382" s="24" t="s">
        <v>300</v>
      </c>
      <c r="F382" s="24">
        <v>45.0</v>
      </c>
      <c r="G382" s="11">
        <v>44.0</v>
      </c>
      <c r="H382" s="75">
        <f t="shared" si="3"/>
        <v>1980</v>
      </c>
      <c r="I382" s="76"/>
      <c r="J382" s="6"/>
    </row>
    <row r="383">
      <c r="E383" s="24" t="s">
        <v>301</v>
      </c>
      <c r="F383" s="24">
        <v>1.0</v>
      </c>
      <c r="G383" s="11">
        <v>400.0</v>
      </c>
      <c r="H383" s="75">
        <f t="shared" si="3"/>
        <v>400</v>
      </c>
      <c r="I383" s="76"/>
      <c r="J383" s="6"/>
    </row>
    <row r="384">
      <c r="E384" s="24" t="s">
        <v>302</v>
      </c>
      <c r="F384" s="24">
        <v>26.0</v>
      </c>
      <c r="G384" s="11">
        <v>200.0</v>
      </c>
      <c r="H384" s="75">
        <f t="shared" si="3"/>
        <v>5200</v>
      </c>
      <c r="I384" s="76"/>
      <c r="J384" s="6"/>
    </row>
    <row r="385">
      <c r="E385" s="112"/>
      <c r="F385" s="112"/>
      <c r="G385" s="113"/>
      <c r="H385" s="75"/>
      <c r="I385" s="76"/>
      <c r="J385" s="6"/>
    </row>
    <row r="386">
      <c r="E386" s="112" t="s">
        <v>303</v>
      </c>
      <c r="F386" s="112">
        <v>334.0</v>
      </c>
      <c r="G386" s="113">
        <v>60.0</v>
      </c>
      <c r="H386" s="75">
        <f t="shared" ref="H386:H394" si="4">F386*G386</f>
        <v>20040</v>
      </c>
      <c r="I386" s="76"/>
      <c r="J386" s="6"/>
    </row>
    <row r="387">
      <c r="E387" s="112" t="s">
        <v>304</v>
      </c>
      <c r="F387" s="112">
        <v>1.0</v>
      </c>
      <c r="G387" s="113">
        <v>10000.0</v>
      </c>
      <c r="H387" s="75">
        <f t="shared" si="4"/>
        <v>10000</v>
      </c>
      <c r="I387" s="76"/>
      <c r="J387" s="6"/>
    </row>
    <row r="388">
      <c r="E388" s="24" t="s">
        <v>305</v>
      </c>
      <c r="F388" s="24">
        <v>70.0</v>
      </c>
      <c r="G388" s="11">
        <v>10.0</v>
      </c>
      <c r="H388" s="75">
        <f t="shared" si="4"/>
        <v>700</v>
      </c>
      <c r="I388" s="76"/>
      <c r="J388" s="6"/>
    </row>
    <row r="389">
      <c r="E389" s="24" t="s">
        <v>306</v>
      </c>
      <c r="F389" s="24">
        <v>1.0</v>
      </c>
      <c r="G389" s="11">
        <v>1200.0</v>
      </c>
      <c r="H389" s="75">
        <f t="shared" si="4"/>
        <v>1200</v>
      </c>
      <c r="I389" s="76"/>
      <c r="J389" s="6"/>
    </row>
    <row r="390">
      <c r="E390" s="24" t="s">
        <v>212</v>
      </c>
      <c r="F390" s="24">
        <v>1.0</v>
      </c>
      <c r="G390" s="11">
        <v>900.0</v>
      </c>
      <c r="H390" s="75">
        <f t="shared" si="4"/>
        <v>900</v>
      </c>
      <c r="I390" s="76"/>
      <c r="J390" s="6"/>
    </row>
    <row r="391">
      <c r="E391" s="24" t="s">
        <v>139</v>
      </c>
      <c r="F391" s="24">
        <v>2.0</v>
      </c>
      <c r="G391" s="11">
        <v>850.0</v>
      </c>
      <c r="H391" s="75">
        <f t="shared" si="4"/>
        <v>1700</v>
      </c>
      <c r="I391" s="76"/>
      <c r="J391" s="6"/>
    </row>
    <row r="392">
      <c r="E392" s="24" t="s">
        <v>307</v>
      </c>
      <c r="F392" s="24">
        <v>2.0</v>
      </c>
      <c r="G392" s="11">
        <v>600.0</v>
      </c>
      <c r="H392" s="75">
        <f t="shared" si="4"/>
        <v>1200</v>
      </c>
      <c r="I392" s="76"/>
      <c r="J392" s="6"/>
    </row>
    <row r="393">
      <c r="E393" s="24" t="s">
        <v>303</v>
      </c>
      <c r="F393" s="24">
        <v>1000.0</v>
      </c>
      <c r="G393" s="11">
        <v>60.0</v>
      </c>
      <c r="H393" s="75">
        <f t="shared" si="4"/>
        <v>60000</v>
      </c>
      <c r="I393" s="76"/>
      <c r="J393" s="6"/>
    </row>
    <row r="394">
      <c r="E394" s="24"/>
      <c r="F394" s="24"/>
      <c r="G394" s="14"/>
      <c r="H394" s="75">
        <f t="shared" si="4"/>
        <v>0</v>
      </c>
      <c r="I394" s="76"/>
      <c r="J394" s="6"/>
    </row>
    <row r="395">
      <c r="E395" s="24"/>
      <c r="F395" s="24"/>
      <c r="G395" s="14"/>
      <c r="H395" s="75"/>
      <c r="I395" s="76"/>
      <c r="J395" s="6"/>
    </row>
    <row r="396">
      <c r="E396" s="24"/>
      <c r="F396" s="24"/>
      <c r="G396" s="14"/>
      <c r="H396" s="75"/>
      <c r="I396" s="76"/>
      <c r="J396" s="6"/>
    </row>
    <row r="397">
      <c r="E397" s="24"/>
      <c r="F397" s="24"/>
      <c r="G397" s="14"/>
      <c r="H397" s="75"/>
      <c r="I397" s="76"/>
      <c r="J397" s="6"/>
    </row>
    <row r="398">
      <c r="E398" s="24"/>
      <c r="F398" s="24"/>
      <c r="G398" s="14"/>
      <c r="H398" s="75"/>
      <c r="I398" s="76"/>
      <c r="J398" s="6"/>
    </row>
    <row r="399">
      <c r="E399" s="24"/>
      <c r="F399" s="24"/>
      <c r="G399" s="14"/>
      <c r="H399" s="75"/>
      <c r="I399" s="76"/>
      <c r="J399" s="6"/>
    </row>
    <row r="400">
      <c r="E400" s="114" t="s">
        <v>308</v>
      </c>
      <c r="F400" s="114">
        <v>1.0</v>
      </c>
      <c r="G400" s="115">
        <v>11800.0</v>
      </c>
      <c r="H400" s="116">
        <f t="shared" ref="H400:H426" si="5">F400*G400</f>
        <v>11800</v>
      </c>
      <c r="I400" s="76"/>
      <c r="J400" s="6"/>
    </row>
    <row r="401">
      <c r="E401" s="24" t="s">
        <v>309</v>
      </c>
      <c r="F401" s="24">
        <v>5.0</v>
      </c>
      <c r="G401" s="11">
        <v>800.0</v>
      </c>
      <c r="H401" s="75">
        <f t="shared" si="5"/>
        <v>4000</v>
      </c>
      <c r="I401" s="76"/>
      <c r="J401" s="6"/>
    </row>
    <row r="402">
      <c r="E402" s="24" t="s">
        <v>310</v>
      </c>
      <c r="F402" s="24">
        <v>1.0</v>
      </c>
      <c r="G402" s="11">
        <v>600.0</v>
      </c>
      <c r="H402" s="75">
        <f t="shared" si="5"/>
        <v>600</v>
      </c>
      <c r="I402" s="117"/>
      <c r="J402" s="6"/>
    </row>
    <row r="403">
      <c r="E403" s="15" t="s">
        <v>311</v>
      </c>
      <c r="F403" s="24">
        <v>50.0</v>
      </c>
      <c r="G403" s="14">
        <v>33.0</v>
      </c>
      <c r="H403" s="75">
        <f t="shared" si="5"/>
        <v>1650</v>
      </c>
      <c r="I403" s="117"/>
      <c r="J403" s="6"/>
    </row>
    <row r="404">
      <c r="E404" s="24" t="s">
        <v>312</v>
      </c>
      <c r="F404" s="24">
        <v>50.0</v>
      </c>
      <c r="G404" s="14">
        <v>11.5</v>
      </c>
      <c r="H404" s="75">
        <f t="shared" si="5"/>
        <v>575</v>
      </c>
      <c r="I404" s="117"/>
      <c r="J404" s="6"/>
    </row>
    <row r="405">
      <c r="E405" s="15" t="s">
        <v>313</v>
      </c>
      <c r="F405" s="24">
        <v>50.0</v>
      </c>
      <c r="G405" s="14">
        <v>15.0</v>
      </c>
      <c r="H405" s="75">
        <f t="shared" si="5"/>
        <v>750</v>
      </c>
      <c r="I405" s="117"/>
      <c r="J405" s="6"/>
    </row>
    <row r="406">
      <c r="E406" s="15" t="s">
        <v>314</v>
      </c>
      <c r="F406" s="24">
        <v>15.0</v>
      </c>
      <c r="G406" s="14">
        <v>41.0</v>
      </c>
      <c r="H406" s="75">
        <f t="shared" si="5"/>
        <v>615</v>
      </c>
      <c r="I406" s="117"/>
      <c r="J406" s="6"/>
    </row>
    <row r="407">
      <c r="E407" s="15" t="s">
        <v>315</v>
      </c>
      <c r="F407" s="24">
        <v>30.0</v>
      </c>
      <c r="G407" s="14">
        <v>37.0</v>
      </c>
      <c r="H407" s="75">
        <f t="shared" si="5"/>
        <v>1110</v>
      </c>
      <c r="I407" s="117"/>
      <c r="J407" s="6"/>
    </row>
    <row r="408">
      <c r="E408" s="24" t="s">
        <v>316</v>
      </c>
      <c r="F408" s="24">
        <v>15.0</v>
      </c>
      <c r="G408" s="11">
        <v>46.0</v>
      </c>
      <c r="H408" s="75">
        <f t="shared" si="5"/>
        <v>690</v>
      </c>
      <c r="I408" s="76"/>
      <c r="J408" s="6"/>
    </row>
    <row r="409">
      <c r="E409" s="81"/>
      <c r="F409" s="15"/>
      <c r="G409" s="14"/>
      <c r="H409" s="75">
        <f t="shared" si="5"/>
        <v>0</v>
      </c>
      <c r="I409" s="117"/>
      <c r="J409" s="6"/>
    </row>
    <row r="410">
      <c r="E410" s="118"/>
      <c r="F410" s="119"/>
      <c r="G410" s="120"/>
      <c r="H410" s="75">
        <f t="shared" si="5"/>
        <v>0</v>
      </c>
      <c r="I410" s="119"/>
      <c r="J410" s="6"/>
    </row>
    <row r="411">
      <c r="E411" s="121"/>
      <c r="F411" s="119"/>
      <c r="G411" s="120"/>
      <c r="H411" s="75">
        <f t="shared" si="5"/>
        <v>0</v>
      </c>
      <c r="I411" s="119"/>
      <c r="J411" s="6"/>
    </row>
    <row r="412">
      <c r="E412" s="121"/>
      <c r="F412" s="119"/>
      <c r="G412" s="120"/>
      <c r="H412" s="75">
        <f t="shared" si="5"/>
        <v>0</v>
      </c>
      <c r="I412" s="119"/>
      <c r="J412" s="6"/>
    </row>
    <row r="413">
      <c r="E413" s="122"/>
      <c r="F413" s="119"/>
      <c r="G413" s="120"/>
      <c r="H413" s="75">
        <f t="shared" si="5"/>
        <v>0</v>
      </c>
      <c r="I413" s="119"/>
      <c r="J413" s="6"/>
    </row>
    <row r="414">
      <c r="E414" s="123" t="s">
        <v>317</v>
      </c>
      <c r="F414" s="123">
        <v>1.0</v>
      </c>
      <c r="G414" s="124">
        <v>20500.0</v>
      </c>
      <c r="H414" s="75">
        <f t="shared" si="5"/>
        <v>20500</v>
      </c>
      <c r="I414" s="125"/>
      <c r="J414" s="6"/>
    </row>
    <row r="415">
      <c r="E415" s="15" t="s">
        <v>318</v>
      </c>
      <c r="F415" s="24">
        <v>50.0</v>
      </c>
      <c r="G415" s="14">
        <v>11.0</v>
      </c>
      <c r="H415" s="75">
        <f t="shared" si="5"/>
        <v>550</v>
      </c>
      <c r="I415" s="125"/>
      <c r="J415" s="6"/>
    </row>
    <row r="416">
      <c r="E416" s="15" t="s">
        <v>319</v>
      </c>
      <c r="F416" s="24">
        <v>100.0</v>
      </c>
      <c r="G416" s="14">
        <v>33.0</v>
      </c>
      <c r="H416" s="75">
        <f t="shared" si="5"/>
        <v>3300</v>
      </c>
      <c r="I416" s="117"/>
      <c r="J416" s="6"/>
    </row>
    <row r="417">
      <c r="E417" s="15" t="s">
        <v>320</v>
      </c>
      <c r="F417" s="15">
        <v>100.0</v>
      </c>
      <c r="G417" s="14">
        <v>27.0</v>
      </c>
      <c r="H417" s="75">
        <f t="shared" si="5"/>
        <v>2700</v>
      </c>
      <c r="I417" s="117"/>
      <c r="J417" s="6"/>
    </row>
    <row r="418">
      <c r="E418" s="15" t="s">
        <v>321</v>
      </c>
      <c r="F418" s="15">
        <v>100.0</v>
      </c>
      <c r="G418" s="14">
        <v>21.0</v>
      </c>
      <c r="H418" s="75">
        <f t="shared" si="5"/>
        <v>2100</v>
      </c>
      <c r="I418" s="117"/>
      <c r="J418" s="6"/>
    </row>
    <row r="419">
      <c r="E419" s="15" t="s">
        <v>322</v>
      </c>
      <c r="F419" s="15">
        <v>50.0</v>
      </c>
      <c r="G419" s="14">
        <v>20.0</v>
      </c>
      <c r="H419" s="75">
        <f t="shared" si="5"/>
        <v>1000</v>
      </c>
      <c r="I419" s="117"/>
      <c r="J419" s="6"/>
    </row>
    <row r="420">
      <c r="E420" s="15" t="s">
        <v>323</v>
      </c>
      <c r="F420" s="24">
        <v>100.0</v>
      </c>
      <c r="G420" s="14">
        <v>10.5</v>
      </c>
      <c r="H420" s="75">
        <f t="shared" si="5"/>
        <v>1050</v>
      </c>
      <c r="I420" s="117"/>
      <c r="J420" s="6"/>
    </row>
    <row r="421">
      <c r="E421" s="15" t="s">
        <v>324</v>
      </c>
      <c r="F421" s="15">
        <v>100.0</v>
      </c>
      <c r="G421" s="14">
        <v>13.7</v>
      </c>
      <c r="H421" s="75">
        <f t="shared" si="5"/>
        <v>1370</v>
      </c>
      <c r="I421" s="117"/>
      <c r="J421" s="6"/>
    </row>
    <row r="422">
      <c r="E422" s="15" t="s">
        <v>325</v>
      </c>
      <c r="F422" s="24">
        <v>10.0</v>
      </c>
      <c r="G422" s="14">
        <v>98.0</v>
      </c>
      <c r="H422" s="75">
        <f t="shared" si="5"/>
        <v>980</v>
      </c>
      <c r="I422" s="117"/>
      <c r="J422" s="6"/>
    </row>
    <row r="423">
      <c r="E423" s="24" t="s">
        <v>326</v>
      </c>
      <c r="F423" s="24">
        <v>1.0</v>
      </c>
      <c r="G423" s="11">
        <v>1700.0</v>
      </c>
      <c r="H423" s="75">
        <f t="shared" si="5"/>
        <v>1700</v>
      </c>
      <c r="I423" s="117"/>
      <c r="J423" s="6"/>
    </row>
    <row r="424">
      <c r="E424" s="24" t="s">
        <v>326</v>
      </c>
      <c r="F424" s="24">
        <v>1.0</v>
      </c>
      <c r="G424" s="11">
        <v>1450.0</v>
      </c>
      <c r="H424" s="75">
        <f t="shared" si="5"/>
        <v>1450</v>
      </c>
      <c r="I424" s="117"/>
      <c r="J424" s="6"/>
    </row>
    <row r="425">
      <c r="E425" s="24" t="s">
        <v>327</v>
      </c>
      <c r="F425" s="24">
        <v>1.0</v>
      </c>
      <c r="G425" s="11">
        <v>1200.0</v>
      </c>
      <c r="H425" s="75">
        <f t="shared" si="5"/>
        <v>1200</v>
      </c>
      <c r="I425" s="119"/>
      <c r="J425" s="6"/>
    </row>
    <row r="426">
      <c r="E426" s="119"/>
      <c r="F426" s="119"/>
      <c r="G426" s="120"/>
      <c r="H426" s="75">
        <f t="shared" si="5"/>
        <v>0</v>
      </c>
      <c r="I426" s="117"/>
      <c r="J426" s="6"/>
    </row>
    <row r="427">
      <c r="E427" s="126" t="s">
        <v>328</v>
      </c>
      <c r="F427" s="127"/>
      <c r="G427" s="128"/>
      <c r="H427" s="129">
        <f>SUM(H3:H426)</f>
        <v>957000.5</v>
      </c>
      <c r="I427" s="130"/>
      <c r="J427" s="6"/>
    </row>
    <row r="428">
      <c r="E428" s="6"/>
      <c r="F428" s="6"/>
      <c r="G428" s="6"/>
      <c r="H428" s="6"/>
      <c r="I428" s="6"/>
      <c r="J428" s="6"/>
    </row>
    <row r="429">
      <c r="E429" s="6"/>
      <c r="F429" s="6"/>
      <c r="G429" s="6"/>
      <c r="H429" s="6"/>
      <c r="I429" s="6"/>
      <c r="J429" s="6"/>
    </row>
    <row r="430">
      <c r="E430" s="6"/>
      <c r="F430" s="6"/>
      <c r="G430" s="6"/>
      <c r="H430" s="6"/>
      <c r="I430" s="6"/>
      <c r="J430" s="6"/>
    </row>
    <row r="431">
      <c r="E431" s="6"/>
      <c r="F431" s="6"/>
      <c r="G431" s="6"/>
      <c r="H431" s="6"/>
      <c r="I431" s="6"/>
      <c r="J431" s="6"/>
    </row>
    <row r="432">
      <c r="E432" s="6"/>
      <c r="F432" s="6"/>
      <c r="G432" s="6"/>
      <c r="H432" s="6"/>
      <c r="I432" s="6"/>
      <c r="J432" s="6"/>
    </row>
    <row r="433">
      <c r="E433" s="6"/>
      <c r="F433" s="6"/>
      <c r="G433" s="6"/>
      <c r="H433" s="6"/>
      <c r="I433" s="6"/>
      <c r="J433" s="6"/>
    </row>
    <row r="434">
      <c r="E434" s="6"/>
      <c r="F434" s="6"/>
      <c r="G434" s="6"/>
      <c r="H434" s="6"/>
      <c r="I434" s="6"/>
      <c r="J434" s="6"/>
    </row>
    <row r="435">
      <c r="E435" s="6"/>
      <c r="F435" s="6"/>
      <c r="G435" s="6"/>
      <c r="H435" s="6"/>
      <c r="I435" s="6"/>
      <c r="J435" s="6"/>
    </row>
    <row r="436">
      <c r="E436" s="6"/>
      <c r="F436" s="6"/>
      <c r="G436" s="6"/>
      <c r="H436" s="6"/>
      <c r="I436" s="6"/>
      <c r="J436" s="6"/>
    </row>
    <row r="437">
      <c r="E437" s="6"/>
      <c r="F437" s="6"/>
      <c r="G437" s="6"/>
      <c r="H437" s="6"/>
      <c r="I437" s="6"/>
      <c r="J437" s="6"/>
    </row>
    <row r="438">
      <c r="E438" s="6"/>
      <c r="F438" s="6"/>
      <c r="G438" s="6"/>
      <c r="H438" s="6"/>
      <c r="I438" s="6"/>
      <c r="J438" s="6"/>
    </row>
    <row r="439">
      <c r="E439" s="6"/>
      <c r="F439" s="6"/>
      <c r="G439" s="6"/>
      <c r="H439" s="6"/>
      <c r="I439" s="6"/>
      <c r="J439" s="6"/>
    </row>
    <row r="440">
      <c r="E440" s="6"/>
      <c r="F440" s="6"/>
      <c r="G440" s="6"/>
      <c r="H440" s="6"/>
      <c r="I440" s="6"/>
      <c r="J440" s="6"/>
    </row>
    <row r="441">
      <c r="E441" s="6"/>
      <c r="F441" s="6"/>
      <c r="G441" s="6"/>
      <c r="H441" s="6"/>
      <c r="I441" s="6"/>
      <c r="J441" s="6"/>
    </row>
    <row r="442">
      <c r="E442" s="6"/>
      <c r="F442" s="6"/>
      <c r="G442" s="6"/>
      <c r="H442" s="6"/>
      <c r="I442" s="6"/>
      <c r="J442" s="6"/>
    </row>
    <row r="443">
      <c r="E443" s="6"/>
      <c r="F443" s="6"/>
      <c r="G443" s="6"/>
      <c r="H443" s="6"/>
      <c r="I443" s="6"/>
      <c r="J443" s="6"/>
    </row>
    <row r="444">
      <c r="E444" s="6"/>
      <c r="F444" s="6"/>
      <c r="G444" s="6"/>
      <c r="H444" s="6"/>
      <c r="I444" s="6"/>
      <c r="J444" s="6"/>
    </row>
    <row r="445">
      <c r="E445" s="6"/>
      <c r="F445" s="6"/>
      <c r="G445" s="6"/>
      <c r="H445" s="6"/>
      <c r="I445" s="6"/>
      <c r="J445" s="6"/>
    </row>
    <row r="446">
      <c r="E446" s="6"/>
      <c r="F446" s="6"/>
      <c r="G446" s="6"/>
      <c r="H446" s="6"/>
      <c r="I446" s="6"/>
      <c r="J446" s="6"/>
    </row>
    <row r="447">
      <c r="E447" s="6"/>
      <c r="F447" s="6"/>
      <c r="G447" s="6"/>
      <c r="H447" s="6"/>
      <c r="I447" s="6"/>
      <c r="J447" s="6"/>
    </row>
    <row r="448">
      <c r="E448" s="6"/>
      <c r="F448" s="6"/>
      <c r="G448" s="6"/>
      <c r="H448" s="6"/>
      <c r="I448" s="6"/>
      <c r="J448" s="6"/>
    </row>
    <row r="449">
      <c r="E449" s="6"/>
      <c r="F449" s="6"/>
      <c r="G449" s="6"/>
      <c r="H449" s="6"/>
      <c r="I449" s="6"/>
      <c r="J449" s="6"/>
    </row>
    <row r="450">
      <c r="E450" s="6"/>
      <c r="F450" s="6"/>
      <c r="G450" s="6"/>
      <c r="H450" s="6"/>
      <c r="I450" s="6"/>
      <c r="J450" s="6"/>
    </row>
    <row r="451">
      <c r="E451" s="6"/>
      <c r="F451" s="6"/>
      <c r="G451" s="6"/>
      <c r="H451" s="6"/>
      <c r="I451" s="6"/>
      <c r="J451" s="6"/>
    </row>
    <row r="452">
      <c r="E452" s="6"/>
      <c r="F452" s="6"/>
      <c r="G452" s="6"/>
      <c r="H452" s="6"/>
      <c r="I452" s="6"/>
      <c r="J452" s="6"/>
    </row>
    <row r="453">
      <c r="E453" s="6"/>
      <c r="F453" s="6"/>
      <c r="G453" s="6"/>
      <c r="H453" s="6"/>
      <c r="I453" s="6"/>
      <c r="J453" s="6"/>
    </row>
    <row r="454">
      <c r="E454" s="6"/>
      <c r="F454" s="6"/>
      <c r="G454" s="6"/>
      <c r="H454" s="6"/>
      <c r="I454" s="6"/>
      <c r="J454" s="6"/>
    </row>
    <row r="455">
      <c r="E455" s="6"/>
      <c r="F455" s="6"/>
      <c r="G455" s="6"/>
      <c r="H455" s="6"/>
      <c r="I455" s="6"/>
      <c r="J455" s="6"/>
    </row>
    <row r="456">
      <c r="E456" s="6"/>
      <c r="F456" s="6"/>
      <c r="G456" s="6"/>
      <c r="H456" s="6"/>
      <c r="I456" s="6"/>
      <c r="J456" s="6"/>
    </row>
    <row r="457">
      <c r="E457" s="6"/>
      <c r="F457" s="6"/>
      <c r="G457" s="6"/>
      <c r="H457" s="6"/>
      <c r="I457" s="6"/>
      <c r="J457" s="6"/>
    </row>
    <row r="458">
      <c r="E458" s="6"/>
      <c r="F458" s="6"/>
      <c r="G458" s="6"/>
      <c r="H458" s="6"/>
      <c r="I458" s="6"/>
      <c r="J458" s="6"/>
    </row>
    <row r="459">
      <c r="E459" s="6"/>
      <c r="F459" s="6"/>
      <c r="G459" s="6"/>
      <c r="H459" s="6"/>
      <c r="I459" s="6"/>
      <c r="J459" s="6"/>
    </row>
    <row r="460">
      <c r="E460" s="6"/>
      <c r="F460" s="6"/>
      <c r="G460" s="6"/>
      <c r="H460" s="6"/>
      <c r="I460" s="6"/>
      <c r="J460" s="6"/>
    </row>
    <row r="461">
      <c r="E461" s="6"/>
      <c r="F461" s="6"/>
      <c r="G461" s="6"/>
      <c r="H461" s="6"/>
      <c r="I461" s="6"/>
      <c r="J461" s="6"/>
    </row>
    <row r="462">
      <c r="E462" s="6"/>
      <c r="F462" s="6"/>
      <c r="G462" s="6"/>
      <c r="H462" s="6"/>
      <c r="I462" s="6"/>
      <c r="J462" s="6"/>
    </row>
    <row r="463">
      <c r="E463" s="6"/>
      <c r="F463" s="6"/>
      <c r="G463" s="6"/>
      <c r="H463" s="6"/>
      <c r="I463" s="6"/>
      <c r="J463" s="6"/>
    </row>
    <row r="464">
      <c r="E464" s="6"/>
      <c r="F464" s="6"/>
      <c r="G464" s="6"/>
      <c r="H464" s="6"/>
      <c r="I464" s="6"/>
      <c r="J464" s="6"/>
    </row>
    <row r="465">
      <c r="E465" s="6"/>
      <c r="F465" s="6"/>
      <c r="G465" s="6"/>
      <c r="H465" s="6"/>
      <c r="I465" s="6"/>
      <c r="J465" s="6"/>
    </row>
  </sheetData>
  <mergeCells count="1">
    <mergeCell ref="E410:E413"/>
  </mergeCells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6.63"/>
    <col customWidth="1" min="2" max="2" width="31.38"/>
    <col customWidth="1" min="3" max="3" width="19.63"/>
    <col customWidth="1" min="4" max="4" width="18.88"/>
    <col customWidth="1" min="5" max="5" width="19.13"/>
    <col customWidth="1" min="6" max="6" width="18.38"/>
    <col customWidth="1" min="7" max="7" width="23.13"/>
    <col customWidth="1" min="8" max="8" width="19.13"/>
    <col customWidth="1" min="9" max="9" width="17.88"/>
    <col customWidth="1" min="10" max="10" width="16.38"/>
    <col customWidth="1" min="11" max="11" width="18.38"/>
    <col customWidth="1" min="12" max="12" width="19.88"/>
    <col customWidth="1" min="13" max="13" width="30.38"/>
    <col customWidth="1" min="14" max="14" width="20.38"/>
    <col customWidth="1" min="15" max="15" width="41.13"/>
    <col customWidth="1" min="16" max="16" width="28.63"/>
    <col customWidth="1" min="17" max="17" width="24.13"/>
    <col customWidth="1" min="18" max="18" width="25.63"/>
    <col customWidth="1" min="21" max="21" width="61.63"/>
  </cols>
  <sheetData>
    <row r="1">
      <c r="A1" s="1"/>
      <c r="B1" s="2" t="s">
        <v>0</v>
      </c>
      <c r="C1" s="131" t="s">
        <v>329</v>
      </c>
      <c r="D1" s="131" t="s">
        <v>330</v>
      </c>
      <c r="E1" s="132" t="s">
        <v>331</v>
      </c>
      <c r="F1" s="132" t="s">
        <v>332</v>
      </c>
      <c r="G1" s="131" t="s">
        <v>333</v>
      </c>
      <c r="H1" s="131" t="s">
        <v>334</v>
      </c>
      <c r="I1" s="131" t="s">
        <v>335</v>
      </c>
      <c r="J1" s="131" t="s">
        <v>336</v>
      </c>
      <c r="K1" s="131" t="s">
        <v>337</v>
      </c>
      <c r="L1" s="132" t="s">
        <v>338</v>
      </c>
      <c r="M1" s="132" t="s">
        <v>339</v>
      </c>
      <c r="N1" s="132" t="s">
        <v>340</v>
      </c>
      <c r="O1" s="132" t="s">
        <v>341</v>
      </c>
      <c r="P1" s="132" t="s">
        <v>342</v>
      </c>
      <c r="Q1" s="132" t="s">
        <v>343</v>
      </c>
      <c r="R1" s="132" t="s">
        <v>344</v>
      </c>
      <c r="S1" s="132" t="s">
        <v>345</v>
      </c>
      <c r="T1" s="131"/>
      <c r="U1" s="133"/>
      <c r="V1" s="6"/>
      <c r="W1" s="6"/>
    </row>
    <row r="2">
      <c r="A2" s="9" t="s">
        <v>11</v>
      </c>
      <c r="B2" s="10">
        <v>45717.0</v>
      </c>
      <c r="C2" s="134">
        <v>1.0</v>
      </c>
      <c r="D2" s="134">
        <v>1.0</v>
      </c>
      <c r="E2" s="134">
        <v>1.0</v>
      </c>
      <c r="F2" s="134">
        <v>0.0</v>
      </c>
      <c r="G2" s="134">
        <v>0.0</v>
      </c>
      <c r="H2" s="134">
        <v>1.0</v>
      </c>
      <c r="I2" s="134">
        <v>0.0</v>
      </c>
      <c r="J2" s="134">
        <v>1.0</v>
      </c>
      <c r="K2" s="134">
        <v>0.0</v>
      </c>
      <c r="L2" s="134">
        <v>1.0</v>
      </c>
      <c r="M2" s="134">
        <v>1.0</v>
      </c>
      <c r="N2" s="134">
        <v>1.0</v>
      </c>
      <c r="O2" s="134">
        <v>0.0</v>
      </c>
      <c r="P2" s="134">
        <v>0.0</v>
      </c>
      <c r="Q2" s="135">
        <v>0.0</v>
      </c>
      <c r="R2" s="134">
        <v>7.4</v>
      </c>
      <c r="S2" s="136"/>
      <c r="T2" s="137"/>
      <c r="U2" s="137"/>
      <c r="V2" s="6"/>
      <c r="W2" s="6"/>
    </row>
    <row r="3">
      <c r="A3" s="9" t="s">
        <v>12</v>
      </c>
      <c r="B3" s="10">
        <v>45718.0</v>
      </c>
      <c r="C3" s="134">
        <v>1.0</v>
      </c>
      <c r="D3" s="134">
        <v>1.0</v>
      </c>
      <c r="E3" s="134">
        <v>1.0</v>
      </c>
      <c r="F3" s="134">
        <v>0.0</v>
      </c>
      <c r="G3" s="134">
        <v>0.0</v>
      </c>
      <c r="H3" s="134">
        <v>1.0</v>
      </c>
      <c r="I3" s="134">
        <v>1.0</v>
      </c>
      <c r="J3" s="134">
        <v>1.0</v>
      </c>
      <c r="K3" s="134">
        <v>0.0</v>
      </c>
      <c r="L3" s="134">
        <v>1.0</v>
      </c>
      <c r="M3" s="134">
        <v>1.0</v>
      </c>
      <c r="N3" s="134">
        <v>1.0</v>
      </c>
      <c r="O3" s="134">
        <v>0.0</v>
      </c>
      <c r="P3" s="134">
        <v>0.0</v>
      </c>
      <c r="Q3" s="135">
        <v>0.0</v>
      </c>
      <c r="R3" s="134">
        <v>0.0</v>
      </c>
      <c r="S3" s="136"/>
      <c r="T3" s="137"/>
      <c r="U3" s="137"/>
      <c r="V3" s="6"/>
      <c r="W3" s="6"/>
    </row>
    <row r="4">
      <c r="A4" s="9" t="s">
        <v>17</v>
      </c>
      <c r="B4" s="10">
        <v>45719.0</v>
      </c>
      <c r="C4" s="138">
        <v>1.0</v>
      </c>
      <c r="D4" s="138">
        <v>1.0</v>
      </c>
      <c r="E4" s="138">
        <v>0.75</v>
      </c>
      <c r="F4" s="138">
        <v>0.0</v>
      </c>
      <c r="G4" s="138">
        <v>1.0</v>
      </c>
      <c r="H4" s="138">
        <v>1.0</v>
      </c>
      <c r="I4" s="138">
        <v>0.0</v>
      </c>
      <c r="J4" s="138">
        <v>1.0</v>
      </c>
      <c r="K4" s="138">
        <v>0.0</v>
      </c>
      <c r="L4" s="138">
        <v>1.0</v>
      </c>
      <c r="M4" s="138">
        <v>1.0</v>
      </c>
      <c r="N4" s="138">
        <v>1.0</v>
      </c>
      <c r="O4" s="138">
        <v>0.0</v>
      </c>
      <c r="P4" s="138">
        <v>0.0</v>
      </c>
      <c r="Q4" s="139">
        <v>0.0</v>
      </c>
      <c r="R4" s="138">
        <v>0.0</v>
      </c>
      <c r="S4" s="140"/>
      <c r="T4" s="137"/>
      <c r="U4" s="138" t="s">
        <v>346</v>
      </c>
      <c r="V4" s="6"/>
      <c r="W4" s="6"/>
    </row>
    <row r="5">
      <c r="A5" s="9" t="s">
        <v>18</v>
      </c>
      <c r="B5" s="10">
        <v>45720.0</v>
      </c>
      <c r="C5" s="134">
        <v>1.0</v>
      </c>
      <c r="D5" s="134">
        <v>1.0</v>
      </c>
      <c r="E5" s="134">
        <v>1.0</v>
      </c>
      <c r="F5" s="134">
        <v>0.0</v>
      </c>
      <c r="G5" s="134">
        <v>1.0</v>
      </c>
      <c r="H5" s="134">
        <v>0.0</v>
      </c>
      <c r="I5" s="134">
        <v>1.0</v>
      </c>
      <c r="J5" s="134">
        <v>1.0</v>
      </c>
      <c r="K5" s="134">
        <v>0.0</v>
      </c>
      <c r="L5" s="134">
        <v>1.0</v>
      </c>
      <c r="M5" s="134">
        <v>1.0</v>
      </c>
      <c r="N5" s="134">
        <v>1.0</v>
      </c>
      <c r="O5" s="134">
        <v>0.0</v>
      </c>
      <c r="P5" s="134">
        <v>0.0</v>
      </c>
      <c r="Q5" s="135">
        <v>0.0</v>
      </c>
      <c r="R5" s="134">
        <v>0.0</v>
      </c>
      <c r="S5" s="136"/>
      <c r="T5" s="141"/>
      <c r="U5" s="134" t="s">
        <v>347</v>
      </c>
      <c r="V5" s="6"/>
      <c r="W5" s="6"/>
    </row>
    <row r="6">
      <c r="A6" s="9" t="s">
        <v>19</v>
      </c>
      <c r="B6" s="10">
        <v>45721.0</v>
      </c>
      <c r="C6" s="134">
        <v>1.0</v>
      </c>
      <c r="D6" s="134">
        <v>1.0</v>
      </c>
      <c r="E6" s="134">
        <v>1.0</v>
      </c>
      <c r="F6" s="134">
        <v>0.0</v>
      </c>
      <c r="G6" s="134">
        <v>1.0</v>
      </c>
      <c r="H6" s="134">
        <v>1.0</v>
      </c>
      <c r="I6" s="134">
        <v>0.0</v>
      </c>
      <c r="J6" s="134">
        <v>1.0</v>
      </c>
      <c r="K6" s="134">
        <v>0.0</v>
      </c>
      <c r="L6" s="134">
        <v>1.0</v>
      </c>
      <c r="M6" s="134">
        <v>1.0</v>
      </c>
      <c r="N6" s="134">
        <v>1.0</v>
      </c>
      <c r="O6" s="134">
        <v>0.0</v>
      </c>
      <c r="P6" s="134">
        <v>0.0</v>
      </c>
      <c r="Q6" s="135">
        <v>0.0</v>
      </c>
      <c r="R6" s="137"/>
      <c r="S6" s="136"/>
      <c r="T6" s="141"/>
      <c r="U6" s="134" t="s">
        <v>348</v>
      </c>
      <c r="V6" s="6"/>
      <c r="W6" s="6"/>
    </row>
    <row r="7">
      <c r="A7" s="9" t="s">
        <v>22</v>
      </c>
      <c r="B7" s="10">
        <v>45722.0</v>
      </c>
      <c r="C7" s="134">
        <v>1.0</v>
      </c>
      <c r="D7" s="134">
        <v>1.0</v>
      </c>
      <c r="E7" s="134">
        <v>1.0</v>
      </c>
      <c r="F7" s="134">
        <v>0.0</v>
      </c>
      <c r="G7" s="134">
        <v>1.0</v>
      </c>
      <c r="H7" s="134">
        <v>1.0</v>
      </c>
      <c r="I7" s="134">
        <v>1.0</v>
      </c>
      <c r="J7" s="134">
        <v>1.0</v>
      </c>
      <c r="K7" s="134">
        <v>0.0</v>
      </c>
      <c r="L7" s="134">
        <v>1.0</v>
      </c>
      <c r="M7" s="134">
        <v>1.0</v>
      </c>
      <c r="N7" s="134">
        <v>1.0</v>
      </c>
      <c r="O7" s="134">
        <v>0.0</v>
      </c>
      <c r="P7" s="134">
        <v>0.0</v>
      </c>
      <c r="Q7" s="135">
        <v>0.0</v>
      </c>
      <c r="R7" s="134">
        <v>0.0</v>
      </c>
      <c r="S7" s="136"/>
      <c r="T7" s="141"/>
      <c r="U7" s="137"/>
      <c r="V7" s="6"/>
      <c r="W7" s="6"/>
    </row>
    <row r="8">
      <c r="A8" s="29" t="s">
        <v>23</v>
      </c>
      <c r="B8" s="30">
        <v>45723.0</v>
      </c>
      <c r="C8" s="142">
        <v>0.0</v>
      </c>
      <c r="D8" s="142">
        <v>1.0</v>
      </c>
      <c r="E8" s="142">
        <v>1.0</v>
      </c>
      <c r="F8" s="142">
        <v>0.0</v>
      </c>
      <c r="G8" s="142">
        <v>0.0</v>
      </c>
      <c r="H8" s="142">
        <v>1.0</v>
      </c>
      <c r="I8" s="142">
        <v>0.0</v>
      </c>
      <c r="J8" s="142">
        <v>0.0</v>
      </c>
      <c r="K8" s="142">
        <v>1.0</v>
      </c>
      <c r="L8" s="142">
        <v>0.0</v>
      </c>
      <c r="M8" s="142">
        <v>1.0</v>
      </c>
      <c r="N8" s="142">
        <v>0.0</v>
      </c>
      <c r="O8" s="142">
        <v>0.0</v>
      </c>
      <c r="P8" s="142">
        <v>0.0</v>
      </c>
      <c r="Q8" s="143">
        <v>0.0</v>
      </c>
      <c r="R8" s="144"/>
      <c r="S8" s="145"/>
      <c r="T8" s="146"/>
      <c r="U8" s="144"/>
      <c r="V8" s="6"/>
      <c r="W8" s="6"/>
    </row>
    <row r="9">
      <c r="A9" s="9" t="s">
        <v>11</v>
      </c>
      <c r="B9" s="10">
        <v>45724.0</v>
      </c>
      <c r="C9" s="134">
        <v>1.0</v>
      </c>
      <c r="D9" s="134">
        <v>1.0</v>
      </c>
      <c r="E9" s="134">
        <v>0.0</v>
      </c>
      <c r="F9" s="134">
        <v>0.0</v>
      </c>
      <c r="G9" s="134">
        <v>0.0</v>
      </c>
      <c r="H9" s="134">
        <v>1.0</v>
      </c>
      <c r="I9" s="134">
        <v>1.0</v>
      </c>
      <c r="J9" s="134">
        <v>0.0</v>
      </c>
      <c r="K9" s="134">
        <v>0.0</v>
      </c>
      <c r="L9" s="134">
        <v>1.0</v>
      </c>
      <c r="M9" s="134">
        <v>1.0</v>
      </c>
      <c r="N9" s="134">
        <v>1.0</v>
      </c>
      <c r="O9" s="134">
        <v>0.0</v>
      </c>
      <c r="P9" s="134">
        <v>0.0</v>
      </c>
      <c r="Q9" s="135">
        <v>0.0</v>
      </c>
      <c r="R9" s="134">
        <v>0.0</v>
      </c>
      <c r="S9" s="136"/>
      <c r="T9" s="141"/>
      <c r="U9" s="137"/>
      <c r="V9" s="6"/>
      <c r="W9" s="6"/>
    </row>
    <row r="10">
      <c r="A10" s="9" t="s">
        <v>12</v>
      </c>
      <c r="B10" s="10">
        <v>45725.0</v>
      </c>
      <c r="C10" s="134">
        <v>1.0</v>
      </c>
      <c r="D10" s="134">
        <v>1.0</v>
      </c>
      <c r="E10" s="134">
        <v>1.0</v>
      </c>
      <c r="F10" s="134">
        <v>0.0</v>
      </c>
      <c r="G10" s="134">
        <v>0.0</v>
      </c>
      <c r="H10" s="134">
        <v>1.0</v>
      </c>
      <c r="I10" s="134">
        <v>0.0</v>
      </c>
      <c r="J10" s="134">
        <v>1.0</v>
      </c>
      <c r="K10" s="134">
        <v>0.0</v>
      </c>
      <c r="L10" s="134">
        <v>0.5</v>
      </c>
      <c r="M10" s="134">
        <v>1.0</v>
      </c>
      <c r="N10" s="134">
        <v>1.0</v>
      </c>
      <c r="O10" s="134">
        <v>0.0</v>
      </c>
      <c r="P10" s="134">
        <v>1.0</v>
      </c>
      <c r="Q10" s="135">
        <v>0.0</v>
      </c>
      <c r="R10" s="137"/>
      <c r="S10" s="136"/>
      <c r="T10" s="141"/>
      <c r="U10" s="134" t="s">
        <v>349</v>
      </c>
      <c r="V10" s="6"/>
      <c r="W10" s="6"/>
    </row>
    <row r="11">
      <c r="A11" s="9" t="s">
        <v>17</v>
      </c>
      <c r="B11" s="10">
        <v>45726.0</v>
      </c>
      <c r="C11" s="138">
        <v>1.0</v>
      </c>
      <c r="D11" s="138">
        <v>1.0</v>
      </c>
      <c r="E11" s="138">
        <v>1.0</v>
      </c>
      <c r="F11" s="138">
        <v>0.0</v>
      </c>
      <c r="G11" s="138">
        <v>0.0</v>
      </c>
      <c r="H11" s="138">
        <v>1.0</v>
      </c>
      <c r="I11" s="138">
        <v>0.0</v>
      </c>
      <c r="J11" s="138">
        <v>1.0</v>
      </c>
      <c r="K11" s="138">
        <v>0.0</v>
      </c>
      <c r="L11" s="138">
        <v>0.0</v>
      </c>
      <c r="M11" s="138">
        <v>1.0</v>
      </c>
      <c r="N11" s="138">
        <v>1.0</v>
      </c>
      <c r="O11" s="138">
        <v>1.0</v>
      </c>
      <c r="P11" s="138">
        <v>0.0</v>
      </c>
      <c r="Q11" s="139">
        <v>0.0</v>
      </c>
      <c r="R11" s="138">
        <v>0.0</v>
      </c>
      <c r="S11" s="140"/>
      <c r="T11" s="141"/>
      <c r="U11" s="147"/>
      <c r="V11" s="6"/>
      <c r="W11" s="6"/>
    </row>
    <row r="12">
      <c r="A12" s="9" t="s">
        <v>18</v>
      </c>
      <c r="B12" s="10">
        <v>45727.0</v>
      </c>
      <c r="C12" s="134">
        <v>1.0</v>
      </c>
      <c r="D12" s="134">
        <v>1.0</v>
      </c>
      <c r="E12" s="134">
        <v>1.0</v>
      </c>
      <c r="F12" s="134">
        <v>1.0</v>
      </c>
      <c r="G12" s="134">
        <v>1.0</v>
      </c>
      <c r="H12" s="134">
        <v>0.0</v>
      </c>
      <c r="I12" s="134">
        <v>1.0</v>
      </c>
      <c r="J12" s="134">
        <v>1.0</v>
      </c>
      <c r="K12" s="134">
        <v>0.0</v>
      </c>
      <c r="L12" s="134">
        <v>1.0</v>
      </c>
      <c r="M12" s="134">
        <v>1.0</v>
      </c>
      <c r="N12" s="134">
        <v>1.0</v>
      </c>
      <c r="O12" s="134">
        <v>0.0</v>
      </c>
      <c r="P12" s="134">
        <v>1.0</v>
      </c>
      <c r="Q12" s="135">
        <v>0.0</v>
      </c>
      <c r="R12" s="134">
        <v>0.0</v>
      </c>
      <c r="S12" s="136"/>
      <c r="T12" s="141"/>
      <c r="U12" s="137"/>
      <c r="V12" s="6"/>
      <c r="W12" s="6"/>
    </row>
    <row r="13">
      <c r="A13" s="9" t="s">
        <v>19</v>
      </c>
      <c r="B13" s="10">
        <v>45728.0</v>
      </c>
      <c r="C13" s="134">
        <v>1.0</v>
      </c>
      <c r="D13" s="134">
        <v>1.0</v>
      </c>
      <c r="E13" s="134">
        <v>1.0</v>
      </c>
      <c r="F13" s="134">
        <v>1.0</v>
      </c>
      <c r="G13" s="134">
        <v>1.0</v>
      </c>
      <c r="H13" s="134">
        <v>1.0</v>
      </c>
      <c r="I13" s="134">
        <v>0.0</v>
      </c>
      <c r="J13" s="134">
        <v>1.0</v>
      </c>
      <c r="K13" s="134">
        <v>0.0</v>
      </c>
      <c r="L13" s="134">
        <v>1.0</v>
      </c>
      <c r="M13" s="134">
        <v>1.0</v>
      </c>
      <c r="N13" s="134">
        <v>1.0</v>
      </c>
      <c r="O13" s="134">
        <v>1.0</v>
      </c>
      <c r="P13" s="134">
        <v>0.0</v>
      </c>
      <c r="Q13" s="135">
        <v>1.0</v>
      </c>
      <c r="R13" s="134">
        <v>0.0</v>
      </c>
      <c r="S13" s="136"/>
      <c r="T13" s="141"/>
      <c r="U13" s="137"/>
      <c r="V13" s="6"/>
      <c r="W13" s="6"/>
    </row>
    <row r="14">
      <c r="A14" s="9" t="s">
        <v>22</v>
      </c>
      <c r="B14" s="10">
        <v>45729.0</v>
      </c>
      <c r="C14" s="134">
        <v>1.0</v>
      </c>
      <c r="D14" s="134">
        <v>1.0</v>
      </c>
      <c r="E14" s="134">
        <v>1.0</v>
      </c>
      <c r="F14" s="134">
        <v>1.0</v>
      </c>
      <c r="G14" s="134">
        <v>1.0</v>
      </c>
      <c r="H14" s="134">
        <v>1.0</v>
      </c>
      <c r="I14" s="134">
        <v>1.0</v>
      </c>
      <c r="J14" s="134">
        <v>1.0</v>
      </c>
      <c r="K14" s="134">
        <v>0.0</v>
      </c>
      <c r="L14" s="134">
        <v>1.0</v>
      </c>
      <c r="M14" s="134">
        <v>1.0</v>
      </c>
      <c r="N14" s="134">
        <v>1.0</v>
      </c>
      <c r="O14" s="134">
        <v>0.0</v>
      </c>
      <c r="P14" s="134">
        <v>0.0</v>
      </c>
      <c r="Q14" s="135">
        <v>0.0</v>
      </c>
      <c r="R14" s="134">
        <v>0.0</v>
      </c>
      <c r="S14" s="136"/>
      <c r="T14" s="141"/>
      <c r="U14" s="137"/>
      <c r="V14" s="6"/>
      <c r="W14" s="6"/>
    </row>
    <row r="15">
      <c r="A15" s="29" t="s">
        <v>23</v>
      </c>
      <c r="B15" s="30">
        <v>45730.0</v>
      </c>
      <c r="C15" s="142">
        <v>0.0</v>
      </c>
      <c r="D15" s="142">
        <v>0.0</v>
      </c>
      <c r="E15" s="142">
        <v>1.0</v>
      </c>
      <c r="F15" s="142">
        <v>1.0</v>
      </c>
      <c r="G15" s="142">
        <v>0.0</v>
      </c>
      <c r="H15" s="142">
        <v>1.0</v>
      </c>
      <c r="I15" s="142">
        <v>1.0</v>
      </c>
      <c r="J15" s="142">
        <v>1.0</v>
      </c>
      <c r="K15" s="142">
        <v>1.0</v>
      </c>
      <c r="L15" s="142">
        <v>0.0</v>
      </c>
      <c r="M15" s="142">
        <v>1.0</v>
      </c>
      <c r="N15" s="142">
        <v>0.0</v>
      </c>
      <c r="O15" s="142">
        <v>0.0</v>
      </c>
      <c r="P15" s="142">
        <v>0.0</v>
      </c>
      <c r="Q15" s="143">
        <v>0.0</v>
      </c>
      <c r="R15" s="142">
        <v>0.0</v>
      </c>
      <c r="S15" s="145"/>
      <c r="T15" s="146"/>
      <c r="U15" s="144"/>
      <c r="V15" s="6"/>
      <c r="W15" s="6"/>
    </row>
    <row r="16">
      <c r="A16" s="9" t="s">
        <v>11</v>
      </c>
      <c r="B16" s="10">
        <v>45731.0</v>
      </c>
      <c r="C16" s="134">
        <v>1.0</v>
      </c>
      <c r="D16" s="134">
        <v>1.0</v>
      </c>
      <c r="E16" s="134">
        <v>0.0</v>
      </c>
      <c r="F16" s="134">
        <v>1.0</v>
      </c>
      <c r="G16" s="134">
        <v>0.0</v>
      </c>
      <c r="H16" s="134">
        <v>1.0</v>
      </c>
      <c r="I16" s="134">
        <v>0.0</v>
      </c>
      <c r="J16" s="134">
        <v>1.0</v>
      </c>
      <c r="K16" s="134">
        <v>0.0</v>
      </c>
      <c r="L16" s="134">
        <v>1.0</v>
      </c>
      <c r="M16" s="134">
        <v>1.0</v>
      </c>
      <c r="N16" s="134">
        <v>1.0</v>
      </c>
      <c r="O16" s="134">
        <v>0.0</v>
      </c>
      <c r="P16" s="134">
        <v>0.0</v>
      </c>
      <c r="Q16" s="135">
        <v>0.0</v>
      </c>
      <c r="R16" s="134">
        <v>0.0</v>
      </c>
      <c r="S16" s="136"/>
      <c r="T16" s="141"/>
      <c r="U16" s="137"/>
      <c r="V16" s="6"/>
      <c r="W16" s="6"/>
    </row>
    <row r="17">
      <c r="A17" s="9" t="s">
        <v>12</v>
      </c>
      <c r="B17" s="10">
        <v>45732.0</v>
      </c>
      <c r="C17" s="148">
        <v>1.0</v>
      </c>
      <c r="D17" s="148">
        <v>1.0</v>
      </c>
      <c r="E17" s="148">
        <v>1.0</v>
      </c>
      <c r="F17" s="148">
        <v>1.0</v>
      </c>
      <c r="G17" s="148">
        <v>0.0</v>
      </c>
      <c r="H17" s="148">
        <v>1.0</v>
      </c>
      <c r="I17" s="148">
        <v>1.0</v>
      </c>
      <c r="J17" s="134">
        <v>1.0</v>
      </c>
      <c r="K17" s="148">
        <v>0.0</v>
      </c>
      <c r="L17" s="134">
        <v>1.0</v>
      </c>
      <c r="M17" s="134">
        <v>1.0</v>
      </c>
      <c r="N17" s="134">
        <v>1.0</v>
      </c>
      <c r="O17" s="134">
        <v>0.0</v>
      </c>
      <c r="P17" s="134">
        <v>0.0</v>
      </c>
      <c r="Q17" s="135">
        <v>0.0</v>
      </c>
      <c r="R17" s="134">
        <v>0.0</v>
      </c>
      <c r="S17" s="136"/>
      <c r="T17" s="141"/>
      <c r="U17" s="137"/>
      <c r="V17" s="6"/>
      <c r="W17" s="6"/>
    </row>
    <row r="18">
      <c r="A18" s="9" t="s">
        <v>17</v>
      </c>
      <c r="B18" s="10">
        <v>45733.0</v>
      </c>
      <c r="C18" s="138">
        <v>1.0</v>
      </c>
      <c r="D18" s="138">
        <v>1.0</v>
      </c>
      <c r="E18" s="138">
        <v>1.0</v>
      </c>
      <c r="F18" s="138">
        <v>1.0</v>
      </c>
      <c r="G18" s="138">
        <v>1.0</v>
      </c>
      <c r="H18" s="138">
        <v>1.0</v>
      </c>
      <c r="I18" s="138">
        <v>0.0</v>
      </c>
      <c r="J18" s="138">
        <v>1.0</v>
      </c>
      <c r="K18" s="138">
        <v>0.0</v>
      </c>
      <c r="L18" s="138">
        <v>1.0</v>
      </c>
      <c r="M18" s="138">
        <v>0.0</v>
      </c>
      <c r="N18" s="138">
        <v>1.0</v>
      </c>
      <c r="O18" s="138">
        <v>0.0</v>
      </c>
      <c r="P18" s="138">
        <v>0.0</v>
      </c>
      <c r="Q18" s="139">
        <v>0.0</v>
      </c>
      <c r="R18" s="138">
        <v>0.0</v>
      </c>
      <c r="S18" s="140"/>
      <c r="T18" s="141"/>
      <c r="U18" s="147"/>
      <c r="V18" s="6"/>
      <c r="W18" s="6"/>
    </row>
    <row r="19">
      <c r="A19" s="9" t="s">
        <v>18</v>
      </c>
      <c r="B19" s="10">
        <v>45734.0</v>
      </c>
      <c r="C19" s="134">
        <v>1.0</v>
      </c>
      <c r="D19" s="134">
        <v>1.0</v>
      </c>
      <c r="E19" s="134">
        <v>1.0</v>
      </c>
      <c r="F19" s="134">
        <v>1.0</v>
      </c>
      <c r="G19" s="134">
        <v>1.0</v>
      </c>
      <c r="H19" s="134">
        <v>0.0</v>
      </c>
      <c r="I19" s="134">
        <v>1.0</v>
      </c>
      <c r="J19" s="134">
        <v>1.0</v>
      </c>
      <c r="K19" s="134">
        <v>0.0</v>
      </c>
      <c r="L19" s="134">
        <v>1.0</v>
      </c>
      <c r="M19" s="134">
        <v>1.0</v>
      </c>
      <c r="N19" s="134">
        <v>1.0</v>
      </c>
      <c r="O19" s="134">
        <v>1.0</v>
      </c>
      <c r="P19" s="134">
        <v>1.0</v>
      </c>
      <c r="Q19" s="135">
        <v>0.0</v>
      </c>
      <c r="R19" s="134">
        <v>0.0</v>
      </c>
      <c r="S19" s="136"/>
      <c r="T19" s="141"/>
      <c r="U19" s="137"/>
      <c r="V19" s="6"/>
      <c r="W19" s="6"/>
    </row>
    <row r="20">
      <c r="A20" s="9" t="s">
        <v>19</v>
      </c>
      <c r="B20" s="10">
        <v>45735.0</v>
      </c>
      <c r="C20" s="134">
        <v>1.0</v>
      </c>
      <c r="D20" s="134">
        <v>1.0</v>
      </c>
      <c r="E20" s="134">
        <v>1.0</v>
      </c>
      <c r="F20" s="134">
        <v>1.0</v>
      </c>
      <c r="G20" s="134">
        <v>1.0</v>
      </c>
      <c r="H20" s="134">
        <v>0.0</v>
      </c>
      <c r="I20" s="134">
        <v>0.0</v>
      </c>
      <c r="J20" s="134">
        <v>1.0</v>
      </c>
      <c r="K20" s="134">
        <v>0.0</v>
      </c>
      <c r="L20" s="134">
        <v>0.5</v>
      </c>
      <c r="M20" s="134">
        <v>1.0</v>
      </c>
      <c r="N20" s="134">
        <v>1.0</v>
      </c>
      <c r="O20" s="134">
        <v>0.0</v>
      </c>
      <c r="P20" s="134">
        <v>0.0</v>
      </c>
      <c r="Q20" s="135">
        <v>0.0</v>
      </c>
      <c r="R20" s="134">
        <v>0.0</v>
      </c>
      <c r="S20" s="136"/>
      <c r="T20" s="141"/>
      <c r="U20" s="137"/>
      <c r="V20" s="6"/>
      <c r="W20" s="6"/>
    </row>
    <row r="21">
      <c r="A21" s="9" t="s">
        <v>22</v>
      </c>
      <c r="B21" s="10">
        <v>45736.0</v>
      </c>
      <c r="C21" s="134">
        <v>1.0</v>
      </c>
      <c r="D21" s="134">
        <v>1.0</v>
      </c>
      <c r="E21" s="134">
        <v>1.0</v>
      </c>
      <c r="F21" s="134">
        <v>1.0</v>
      </c>
      <c r="G21" s="134">
        <v>1.0</v>
      </c>
      <c r="H21" s="134">
        <v>1.0</v>
      </c>
      <c r="I21" s="134">
        <v>1.0</v>
      </c>
      <c r="J21" s="134">
        <v>1.0</v>
      </c>
      <c r="K21" s="134">
        <v>0.0</v>
      </c>
      <c r="L21" s="134">
        <v>1.0</v>
      </c>
      <c r="M21" s="134">
        <v>1.0</v>
      </c>
      <c r="N21" s="134">
        <v>1.0</v>
      </c>
      <c r="O21" s="134">
        <v>0.0</v>
      </c>
      <c r="P21" s="134">
        <v>1.0</v>
      </c>
      <c r="Q21" s="135">
        <v>0.0</v>
      </c>
      <c r="R21" s="134">
        <v>0.0</v>
      </c>
      <c r="S21" s="136"/>
      <c r="T21" s="141"/>
      <c r="U21" s="137"/>
      <c r="V21" s="6"/>
      <c r="W21" s="6"/>
    </row>
    <row r="22">
      <c r="A22" s="29" t="s">
        <v>23</v>
      </c>
      <c r="B22" s="30">
        <v>45737.0</v>
      </c>
      <c r="C22" s="142">
        <v>0.0</v>
      </c>
      <c r="D22" s="142">
        <v>1.0</v>
      </c>
      <c r="E22" s="142">
        <v>1.0</v>
      </c>
      <c r="F22" s="142">
        <v>1.0</v>
      </c>
      <c r="G22" s="142">
        <v>0.0</v>
      </c>
      <c r="H22" s="142">
        <v>1.0</v>
      </c>
      <c r="I22" s="142">
        <v>0.0</v>
      </c>
      <c r="J22" s="142">
        <v>1.0</v>
      </c>
      <c r="K22" s="142">
        <v>1.0</v>
      </c>
      <c r="L22" s="142">
        <v>1.0</v>
      </c>
      <c r="M22" s="142">
        <v>1.0</v>
      </c>
      <c r="N22" s="142">
        <v>0.0</v>
      </c>
      <c r="O22" s="142">
        <v>0.0</v>
      </c>
      <c r="P22" s="142">
        <v>0.0</v>
      </c>
      <c r="Q22" s="143">
        <v>1.0</v>
      </c>
      <c r="R22" s="142">
        <v>0.0</v>
      </c>
      <c r="S22" s="145"/>
      <c r="T22" s="146"/>
      <c r="U22" s="144"/>
      <c r="V22" s="6"/>
      <c r="W22" s="6"/>
    </row>
    <row r="23">
      <c r="A23" s="9" t="s">
        <v>11</v>
      </c>
      <c r="B23" s="10">
        <v>45738.0</v>
      </c>
      <c r="C23" s="134">
        <v>1.0</v>
      </c>
      <c r="D23" s="134">
        <v>1.0</v>
      </c>
      <c r="E23" s="134">
        <v>0.0</v>
      </c>
      <c r="F23" s="134">
        <v>1.0</v>
      </c>
      <c r="G23" s="134">
        <v>0.0</v>
      </c>
      <c r="H23" s="134">
        <v>1.0</v>
      </c>
      <c r="I23" s="134">
        <v>1.0</v>
      </c>
      <c r="J23" s="134">
        <v>1.0</v>
      </c>
      <c r="K23" s="134">
        <v>1.0</v>
      </c>
      <c r="L23" s="134">
        <v>1.0</v>
      </c>
      <c r="M23" s="134">
        <v>1.0</v>
      </c>
      <c r="N23" s="134">
        <v>1.0</v>
      </c>
      <c r="O23" s="134">
        <v>1.0</v>
      </c>
      <c r="P23" s="134">
        <v>1.0</v>
      </c>
      <c r="Q23" s="135">
        <v>1.0</v>
      </c>
      <c r="R23" s="134">
        <v>0.0</v>
      </c>
      <c r="S23" s="135">
        <v>1.0</v>
      </c>
      <c r="T23" s="141"/>
      <c r="U23" s="137"/>
      <c r="V23" s="6"/>
      <c r="W23" s="6"/>
    </row>
    <row r="24">
      <c r="A24" s="9" t="s">
        <v>12</v>
      </c>
      <c r="B24" s="10">
        <v>45739.0</v>
      </c>
      <c r="C24" s="134">
        <v>0.0</v>
      </c>
      <c r="D24" s="134">
        <v>1.0</v>
      </c>
      <c r="E24" s="134">
        <v>1.0</v>
      </c>
      <c r="F24" s="134">
        <v>1.0</v>
      </c>
      <c r="G24" s="134">
        <v>0.0</v>
      </c>
      <c r="H24" s="134">
        <v>1.0</v>
      </c>
      <c r="I24" s="134">
        <v>0.0</v>
      </c>
      <c r="J24" s="134">
        <v>1.0</v>
      </c>
      <c r="K24" s="134">
        <v>1.0</v>
      </c>
      <c r="L24" s="134">
        <v>1.0</v>
      </c>
      <c r="M24" s="134">
        <v>1.0</v>
      </c>
      <c r="N24" s="134">
        <v>1.0</v>
      </c>
      <c r="O24" s="134">
        <v>1.0</v>
      </c>
      <c r="P24" s="134">
        <v>0.0</v>
      </c>
      <c r="Q24" s="135">
        <v>0.0</v>
      </c>
      <c r="R24" s="134">
        <v>0.0</v>
      </c>
      <c r="S24" s="135">
        <v>1.0</v>
      </c>
      <c r="T24" s="141"/>
      <c r="U24" s="137"/>
      <c r="V24" s="6"/>
      <c r="W24" s="6"/>
    </row>
    <row r="25">
      <c r="A25" s="9" t="s">
        <v>17</v>
      </c>
      <c r="B25" s="10">
        <v>45740.0</v>
      </c>
      <c r="C25" s="138">
        <v>1.0</v>
      </c>
      <c r="D25" s="138">
        <v>1.0</v>
      </c>
      <c r="E25" s="138">
        <v>0.0</v>
      </c>
      <c r="F25" s="138">
        <v>1.0</v>
      </c>
      <c r="G25" s="138">
        <v>1.0</v>
      </c>
      <c r="H25" s="138">
        <v>1.0</v>
      </c>
      <c r="I25" s="138">
        <v>1.0</v>
      </c>
      <c r="J25" s="138">
        <v>1.0</v>
      </c>
      <c r="K25" s="138">
        <v>1.0</v>
      </c>
      <c r="L25" s="138">
        <v>1.0</v>
      </c>
      <c r="M25" s="138">
        <v>1.0</v>
      </c>
      <c r="N25" s="138">
        <v>1.0</v>
      </c>
      <c r="O25" s="138">
        <v>0.0</v>
      </c>
      <c r="P25" s="138">
        <v>1.0</v>
      </c>
      <c r="Q25" s="139">
        <v>1.0</v>
      </c>
      <c r="R25" s="138">
        <v>0.0</v>
      </c>
      <c r="S25" s="139">
        <v>1.0</v>
      </c>
      <c r="T25" s="149"/>
      <c r="U25" s="147"/>
      <c r="V25" s="6"/>
      <c r="W25" s="6"/>
    </row>
    <row r="26">
      <c r="A26" s="9" t="s">
        <v>18</v>
      </c>
      <c r="B26" s="10">
        <v>45741.0</v>
      </c>
      <c r="C26" s="148">
        <v>1.0</v>
      </c>
      <c r="D26" s="148">
        <v>0.0</v>
      </c>
      <c r="E26" s="148">
        <v>1.0</v>
      </c>
      <c r="F26" s="148">
        <v>1.0</v>
      </c>
      <c r="G26" s="148">
        <v>1.0</v>
      </c>
      <c r="H26" s="148">
        <v>0.0</v>
      </c>
      <c r="I26" s="148">
        <v>0.0</v>
      </c>
      <c r="J26" s="148">
        <v>1.0</v>
      </c>
      <c r="K26" s="148">
        <v>1.0</v>
      </c>
      <c r="L26" s="148">
        <v>1.0</v>
      </c>
      <c r="M26" s="148">
        <v>1.0</v>
      </c>
      <c r="N26" s="134">
        <v>1.0</v>
      </c>
      <c r="O26" s="148">
        <v>0.0</v>
      </c>
      <c r="P26" s="148">
        <v>0.0</v>
      </c>
      <c r="Q26" s="150">
        <v>1.0</v>
      </c>
      <c r="R26" s="148">
        <v>0.0</v>
      </c>
      <c r="S26" s="150">
        <v>1.0</v>
      </c>
      <c r="T26" s="141"/>
      <c r="U26" s="137"/>
      <c r="V26" s="6"/>
      <c r="W26" s="6"/>
    </row>
    <row r="27">
      <c r="A27" s="9" t="s">
        <v>19</v>
      </c>
      <c r="B27" s="10">
        <v>45742.0</v>
      </c>
      <c r="C27" s="134">
        <v>1.0</v>
      </c>
      <c r="D27" s="134">
        <v>1.0</v>
      </c>
      <c r="E27" s="134">
        <v>1.0</v>
      </c>
      <c r="F27" s="134">
        <v>1.0</v>
      </c>
      <c r="G27" s="134">
        <v>1.0</v>
      </c>
      <c r="H27" s="134">
        <v>1.0</v>
      </c>
      <c r="I27" s="134">
        <v>0.0</v>
      </c>
      <c r="J27" s="134">
        <v>1.0</v>
      </c>
      <c r="K27" s="134">
        <v>1.0</v>
      </c>
      <c r="L27" s="134">
        <v>1.0</v>
      </c>
      <c r="M27" s="134">
        <v>2.0</v>
      </c>
      <c r="N27" s="134">
        <v>1.0</v>
      </c>
      <c r="O27" s="134">
        <v>0.0</v>
      </c>
      <c r="P27" s="134">
        <v>1.0</v>
      </c>
      <c r="Q27" s="135">
        <v>1.0</v>
      </c>
      <c r="R27" s="134">
        <v>0.0</v>
      </c>
      <c r="S27" s="135">
        <v>1.0</v>
      </c>
      <c r="T27" s="149"/>
      <c r="U27" s="137"/>
      <c r="V27" s="6"/>
      <c r="W27" s="6"/>
    </row>
    <row r="28">
      <c r="A28" s="9" t="s">
        <v>22</v>
      </c>
      <c r="B28" s="10">
        <v>45743.0</v>
      </c>
      <c r="C28" s="134">
        <v>1.0</v>
      </c>
      <c r="D28" s="134">
        <v>1.0</v>
      </c>
      <c r="E28" s="134">
        <v>1.0</v>
      </c>
      <c r="F28" s="134">
        <v>0.0</v>
      </c>
      <c r="G28" s="134">
        <v>2.0</v>
      </c>
      <c r="H28" s="134">
        <v>1.0</v>
      </c>
      <c r="I28" s="134">
        <v>0.0</v>
      </c>
      <c r="J28" s="134">
        <v>0.5</v>
      </c>
      <c r="K28" s="134">
        <v>1.0</v>
      </c>
      <c r="L28" s="134">
        <v>1.0</v>
      </c>
      <c r="M28" s="134">
        <v>1.0</v>
      </c>
      <c r="N28" s="134">
        <v>1.0</v>
      </c>
      <c r="O28" s="134">
        <v>1.0</v>
      </c>
      <c r="P28" s="134">
        <v>0.0</v>
      </c>
      <c r="Q28" s="135">
        <v>1.0</v>
      </c>
      <c r="R28" s="134">
        <v>0.0</v>
      </c>
      <c r="S28" s="135">
        <v>0.0</v>
      </c>
      <c r="T28" s="149"/>
      <c r="U28" s="134" t="s">
        <v>350</v>
      </c>
      <c r="V28" s="6"/>
      <c r="W28" s="6"/>
    </row>
    <row r="29">
      <c r="A29" s="151" t="s">
        <v>23</v>
      </c>
      <c r="B29" s="152">
        <v>45744.0</v>
      </c>
      <c r="C29" s="153">
        <v>0.0</v>
      </c>
      <c r="D29" s="153">
        <v>1.0</v>
      </c>
      <c r="E29" s="153">
        <v>1.0</v>
      </c>
      <c r="F29" s="153">
        <v>0.0</v>
      </c>
      <c r="G29" s="153">
        <v>4.0</v>
      </c>
      <c r="H29" s="153">
        <v>1.0</v>
      </c>
      <c r="I29" s="153">
        <v>1.0</v>
      </c>
      <c r="J29" s="153">
        <v>0.0</v>
      </c>
      <c r="K29" s="153">
        <v>1.0</v>
      </c>
      <c r="L29" s="153">
        <v>1.0</v>
      </c>
      <c r="M29" s="153">
        <v>1.0</v>
      </c>
      <c r="N29" s="153">
        <v>0.0</v>
      </c>
      <c r="O29" s="153">
        <v>0.0</v>
      </c>
      <c r="P29" s="153">
        <v>1.0</v>
      </c>
      <c r="Q29" s="154">
        <v>1.0</v>
      </c>
      <c r="R29" s="153">
        <v>0.0</v>
      </c>
      <c r="S29" s="154">
        <v>0.0</v>
      </c>
      <c r="T29" s="155"/>
      <c r="U29" s="134" t="s">
        <v>351</v>
      </c>
      <c r="V29" s="6"/>
      <c r="W29" s="6"/>
    </row>
    <row r="30">
      <c r="A30" s="9" t="s">
        <v>11</v>
      </c>
      <c r="B30" s="10">
        <v>45745.0</v>
      </c>
      <c r="C30" s="156">
        <v>1.0</v>
      </c>
      <c r="D30" s="157">
        <v>1.0</v>
      </c>
      <c r="E30" s="157">
        <v>1.0</v>
      </c>
      <c r="F30" s="157">
        <v>0.0</v>
      </c>
      <c r="G30" s="157">
        <v>0.0</v>
      </c>
      <c r="H30" s="157">
        <v>1.0</v>
      </c>
      <c r="I30" s="157">
        <v>0.0</v>
      </c>
      <c r="J30" s="157">
        <v>0.0</v>
      </c>
      <c r="K30" s="157">
        <v>0.0</v>
      </c>
      <c r="L30" s="157">
        <v>1.0</v>
      </c>
      <c r="M30" s="157">
        <v>1.0</v>
      </c>
      <c r="N30" s="157">
        <v>1.0</v>
      </c>
      <c r="O30" s="157">
        <v>0.0</v>
      </c>
      <c r="P30" s="157">
        <v>1.0</v>
      </c>
      <c r="Q30" s="158">
        <v>0.0</v>
      </c>
      <c r="R30" s="157">
        <v>0.0</v>
      </c>
      <c r="S30" s="158">
        <v>0.0</v>
      </c>
      <c r="T30" s="159"/>
      <c r="U30" s="160"/>
      <c r="V30" s="6"/>
      <c r="W30" s="6"/>
    </row>
    <row r="31">
      <c r="A31" s="9" t="s">
        <v>12</v>
      </c>
      <c r="B31" s="10">
        <v>45746.0</v>
      </c>
      <c r="C31" s="161">
        <v>0.0</v>
      </c>
      <c r="D31" s="162">
        <v>1.0</v>
      </c>
      <c r="E31" s="162">
        <v>1.0</v>
      </c>
      <c r="F31" s="162">
        <v>0.0</v>
      </c>
      <c r="G31" s="162">
        <v>0.0</v>
      </c>
      <c r="H31" s="162">
        <v>1.0</v>
      </c>
      <c r="I31" s="162">
        <v>1.0</v>
      </c>
      <c r="J31" s="162">
        <v>0.0</v>
      </c>
      <c r="K31" s="162">
        <v>0.0</v>
      </c>
      <c r="L31" s="162">
        <v>0.0</v>
      </c>
      <c r="M31" s="162">
        <v>0.0</v>
      </c>
      <c r="N31" s="157">
        <v>1.0</v>
      </c>
      <c r="O31" s="162">
        <v>0.0</v>
      </c>
      <c r="P31" s="162">
        <v>0.0</v>
      </c>
      <c r="Q31" s="162">
        <v>0.0</v>
      </c>
      <c r="R31" s="163"/>
      <c r="S31" s="164"/>
      <c r="T31" s="165"/>
      <c r="U31" s="166"/>
      <c r="V31" s="6"/>
      <c r="W31" s="6"/>
    </row>
    <row r="32">
      <c r="A32" s="9" t="s">
        <v>17</v>
      </c>
      <c r="B32" s="10">
        <v>45747.0</v>
      </c>
      <c r="C32" s="167">
        <v>0.0</v>
      </c>
      <c r="D32" s="168">
        <v>0.0</v>
      </c>
      <c r="E32" s="168">
        <v>0.0</v>
      </c>
      <c r="F32" s="168">
        <v>0.0</v>
      </c>
      <c r="G32" s="168">
        <v>0.0</v>
      </c>
      <c r="H32" s="168">
        <v>0.0</v>
      </c>
      <c r="I32" s="168">
        <v>0.0</v>
      </c>
      <c r="J32" s="168">
        <v>0.0</v>
      </c>
      <c r="K32" s="168">
        <v>0.0</v>
      </c>
      <c r="L32" s="168">
        <v>1.0</v>
      </c>
      <c r="M32" s="168">
        <v>0.0</v>
      </c>
      <c r="N32" s="169">
        <v>0.0</v>
      </c>
      <c r="O32" s="168">
        <v>0.0</v>
      </c>
      <c r="P32" s="168">
        <v>0.0</v>
      </c>
      <c r="Q32" s="168">
        <v>0.0</v>
      </c>
      <c r="R32" s="168">
        <v>0.0</v>
      </c>
      <c r="S32" s="170">
        <v>0.0</v>
      </c>
      <c r="T32" s="171">
        <v>0.0</v>
      </c>
      <c r="U32" s="166"/>
      <c r="V32" s="6"/>
      <c r="W32" s="6"/>
    </row>
    <row r="33">
      <c r="A33" s="16"/>
      <c r="B33" s="172" t="s">
        <v>352</v>
      </c>
      <c r="C33" s="173"/>
      <c r="D33" s="162">
        <v>3.0</v>
      </c>
      <c r="E33" s="157">
        <v>1.0</v>
      </c>
      <c r="F33" s="157">
        <v>0.0</v>
      </c>
      <c r="G33" s="157">
        <v>0.0</v>
      </c>
      <c r="H33" s="157">
        <v>0.0</v>
      </c>
      <c r="I33" s="160"/>
      <c r="J33" s="162">
        <v>2.0</v>
      </c>
      <c r="K33" s="157">
        <v>0.0</v>
      </c>
      <c r="L33" s="162">
        <v>6.0</v>
      </c>
      <c r="M33" s="162">
        <v>4.5</v>
      </c>
      <c r="N33" s="157">
        <v>0.0</v>
      </c>
      <c r="O33" s="158">
        <v>1.0</v>
      </c>
      <c r="P33" s="174">
        <v>3.0</v>
      </c>
      <c r="Q33" s="166"/>
      <c r="R33" s="166"/>
      <c r="S33" s="175"/>
      <c r="T33" s="176"/>
      <c r="U33" s="166"/>
      <c r="V33" s="6"/>
      <c r="W33" s="6"/>
    </row>
    <row r="34">
      <c r="A34" s="6"/>
      <c r="B34" s="66"/>
      <c r="C34" s="177">
        <f t="shared" ref="C34:T34" si="1">SUM(C2:C33)</f>
        <v>24</v>
      </c>
      <c r="D34" s="178">
        <f t="shared" si="1"/>
        <v>31</v>
      </c>
      <c r="E34" s="178">
        <f t="shared" si="1"/>
        <v>26.75</v>
      </c>
      <c r="F34" s="178">
        <f t="shared" si="1"/>
        <v>16</v>
      </c>
      <c r="G34" s="178">
        <f t="shared" si="1"/>
        <v>20</v>
      </c>
      <c r="H34" s="178">
        <f t="shared" si="1"/>
        <v>25</v>
      </c>
      <c r="I34" s="178">
        <f t="shared" si="1"/>
        <v>14</v>
      </c>
      <c r="J34" s="178">
        <f t="shared" si="1"/>
        <v>26.5</v>
      </c>
      <c r="K34" s="178">
        <f t="shared" si="1"/>
        <v>10</v>
      </c>
      <c r="L34" s="160">
        <f t="shared" si="1"/>
        <v>32</v>
      </c>
      <c r="M34" s="179">
        <f t="shared" si="1"/>
        <v>33.5</v>
      </c>
      <c r="N34" s="180">
        <f t="shared" si="1"/>
        <v>26</v>
      </c>
      <c r="O34" s="180">
        <f t="shared" si="1"/>
        <v>7</v>
      </c>
      <c r="P34" s="180">
        <f t="shared" si="1"/>
        <v>12</v>
      </c>
      <c r="Q34" s="180">
        <f t="shared" si="1"/>
        <v>8</v>
      </c>
      <c r="R34" s="180">
        <f t="shared" si="1"/>
        <v>7.4</v>
      </c>
      <c r="S34" s="175">
        <f t="shared" si="1"/>
        <v>5</v>
      </c>
      <c r="T34" s="180">
        <f t="shared" si="1"/>
        <v>0</v>
      </c>
      <c r="U34" s="166"/>
      <c r="V34" s="6"/>
      <c r="W34" s="6"/>
    </row>
    <row r="35">
      <c r="A35" s="6"/>
      <c r="B35" s="66"/>
      <c r="C35" s="181">
        <v>1290.0</v>
      </c>
      <c r="D35" s="182">
        <v>1155.0</v>
      </c>
      <c r="E35" s="182">
        <v>1155.0</v>
      </c>
      <c r="F35" s="182">
        <v>1155.0</v>
      </c>
      <c r="G35" s="183">
        <v>1111.0</v>
      </c>
      <c r="H35" s="184">
        <v>1155.0</v>
      </c>
      <c r="I35" s="184">
        <v>1155.0</v>
      </c>
      <c r="J35" s="185">
        <v>1296.29</v>
      </c>
      <c r="K35" s="184">
        <v>1200.0</v>
      </c>
      <c r="L35" s="186">
        <v>1300.0</v>
      </c>
      <c r="M35" s="187">
        <v>1300.0</v>
      </c>
      <c r="N35" s="188">
        <v>1155.0</v>
      </c>
      <c r="O35" s="187">
        <v>1000.0</v>
      </c>
      <c r="P35" s="187">
        <v>1200.0</v>
      </c>
      <c r="Q35" s="188">
        <v>1200.0</v>
      </c>
      <c r="R35" s="187">
        <v>1000.0</v>
      </c>
      <c r="S35" s="189">
        <v>1000.0</v>
      </c>
      <c r="T35" s="188">
        <v>1000.0</v>
      </c>
      <c r="U35" s="190"/>
      <c r="V35" s="6"/>
      <c r="W35" s="6"/>
    </row>
    <row r="36">
      <c r="C36" s="191">
        <f t="shared" ref="C36:T36" si="2">C34*C35</f>
        <v>30960</v>
      </c>
      <c r="D36" s="192">
        <f t="shared" si="2"/>
        <v>35805</v>
      </c>
      <c r="E36" s="192">
        <f t="shared" si="2"/>
        <v>30896.25</v>
      </c>
      <c r="F36" s="192">
        <f t="shared" si="2"/>
        <v>18480</v>
      </c>
      <c r="G36" s="192">
        <f t="shared" si="2"/>
        <v>22220</v>
      </c>
      <c r="H36" s="193">
        <f t="shared" si="2"/>
        <v>28875</v>
      </c>
      <c r="I36" s="193">
        <f t="shared" si="2"/>
        <v>16170</v>
      </c>
      <c r="J36" s="193">
        <f t="shared" si="2"/>
        <v>34351.685</v>
      </c>
      <c r="K36" s="193">
        <f t="shared" si="2"/>
        <v>12000</v>
      </c>
      <c r="L36" s="194">
        <f t="shared" si="2"/>
        <v>41600</v>
      </c>
      <c r="M36" s="188">
        <f t="shared" si="2"/>
        <v>43550</v>
      </c>
      <c r="N36" s="195">
        <f t="shared" si="2"/>
        <v>30030</v>
      </c>
      <c r="O36" s="195">
        <f t="shared" si="2"/>
        <v>7000</v>
      </c>
      <c r="P36" s="195">
        <f t="shared" si="2"/>
        <v>14400</v>
      </c>
      <c r="Q36" s="195">
        <f t="shared" si="2"/>
        <v>9600</v>
      </c>
      <c r="R36" s="195">
        <f t="shared" si="2"/>
        <v>7400</v>
      </c>
      <c r="S36" s="196">
        <f t="shared" si="2"/>
        <v>5000</v>
      </c>
      <c r="T36" s="195">
        <f t="shared" si="2"/>
        <v>0</v>
      </c>
      <c r="U36" s="197"/>
      <c r="V36" s="6"/>
      <c r="W36" s="6"/>
    </row>
    <row r="37">
      <c r="C37" s="198"/>
      <c r="D37" s="198"/>
      <c r="E37" s="198"/>
      <c r="F37" s="198"/>
      <c r="G37" s="198"/>
      <c r="H37" s="198"/>
      <c r="I37" s="198"/>
      <c r="J37" s="198"/>
      <c r="K37" s="199"/>
      <c r="L37" s="199"/>
      <c r="M37" s="199"/>
      <c r="N37" s="166"/>
      <c r="O37" s="166"/>
      <c r="P37" s="166"/>
      <c r="Q37" s="166"/>
      <c r="R37" s="166"/>
      <c r="S37" s="175"/>
      <c r="T37" s="166"/>
      <c r="U37" s="190"/>
      <c r="V37" s="6"/>
      <c r="W37" s="6"/>
    </row>
    <row r="38">
      <c r="C38" s="16"/>
      <c r="D38" s="16"/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16"/>
      <c r="R38" s="16"/>
      <c r="S38" s="200"/>
      <c r="T38" s="16"/>
      <c r="U38" s="16"/>
      <c r="V38" s="6"/>
      <c r="W38" s="6"/>
    </row>
    <row r="39">
      <c r="C39" s="16"/>
      <c r="D39" s="16"/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16"/>
      <c r="R39" s="16"/>
      <c r="S39" s="200"/>
      <c r="T39" s="16"/>
      <c r="U39" s="16"/>
      <c r="V39" s="6"/>
      <c r="W39" s="6"/>
    </row>
    <row r="40">
      <c r="C40" s="16"/>
      <c r="D40" s="16"/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16"/>
      <c r="R40" s="16"/>
      <c r="S40" s="16"/>
      <c r="T40" s="16"/>
      <c r="U40" s="16"/>
      <c r="V40" s="6"/>
      <c r="W40" s="6"/>
    </row>
    <row r="41">
      <c r="C41" s="16"/>
      <c r="D41" s="16"/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6"/>
      <c r="W41" s="6"/>
    </row>
    <row r="42">
      <c r="C42" s="16"/>
      <c r="D42" s="16"/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6"/>
      <c r="W42" s="6"/>
    </row>
    <row r="43">
      <c r="C43" s="16"/>
      <c r="D43" s="16"/>
      <c r="E43" s="16"/>
      <c r="F43" s="16"/>
      <c r="G43" s="16"/>
      <c r="H43" s="16"/>
      <c r="I43" s="16"/>
      <c r="J43" s="16"/>
      <c r="K43" s="16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6"/>
      <c r="W43" s="6"/>
    </row>
    <row r="44"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6"/>
      <c r="W44" s="6"/>
    </row>
    <row r="45">
      <c r="C45" s="16"/>
      <c r="D45" s="16"/>
      <c r="E45" s="16"/>
      <c r="F45" s="16"/>
      <c r="G45" s="16"/>
      <c r="H45" s="16"/>
      <c r="I45" s="16"/>
      <c r="J45" s="16"/>
      <c r="K45" s="16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6"/>
      <c r="W45" s="6"/>
    </row>
    <row r="46"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6"/>
      <c r="W46" s="6"/>
    </row>
    <row r="47">
      <c r="C47" s="16"/>
      <c r="D47" s="16"/>
      <c r="E47" s="16"/>
      <c r="F47" s="16"/>
      <c r="G47" s="16"/>
      <c r="H47" s="16"/>
      <c r="I47" s="16"/>
      <c r="J47" s="16"/>
      <c r="K47" s="16"/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6"/>
      <c r="W47" s="6"/>
    </row>
    <row r="48">
      <c r="C48" s="16"/>
      <c r="D48" s="16"/>
      <c r="E48" s="16"/>
      <c r="F48" s="16"/>
      <c r="G48" s="16"/>
      <c r="H48" s="16"/>
      <c r="I48" s="16"/>
      <c r="J48" s="16"/>
      <c r="K48" s="16"/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6"/>
      <c r="W48" s="6"/>
    </row>
    <row r="49">
      <c r="C49" s="16"/>
      <c r="D49" s="16"/>
      <c r="E49" s="16"/>
      <c r="F49" s="16"/>
      <c r="G49" s="16"/>
      <c r="H49" s="16"/>
      <c r="I49" s="16"/>
      <c r="J49" s="16"/>
      <c r="K49" s="16"/>
      <c r="L49" s="16"/>
      <c r="M49" s="16"/>
      <c r="N49" s="16"/>
      <c r="O49" s="16"/>
      <c r="P49" s="16"/>
      <c r="Q49" s="16"/>
      <c r="R49" s="16"/>
      <c r="S49" s="16"/>
      <c r="T49" s="16"/>
      <c r="U49" s="16"/>
      <c r="V49" s="6"/>
      <c r="W49" s="6"/>
    </row>
    <row r="50"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6"/>
      <c r="W50" s="6"/>
    </row>
    <row r="51">
      <c r="A51" s="1"/>
      <c r="B51" s="2" t="s">
        <v>0</v>
      </c>
      <c r="C51" s="131" t="s">
        <v>336</v>
      </c>
      <c r="D51" s="16"/>
      <c r="E51" s="16"/>
      <c r="F51" s="16"/>
      <c r="G51" s="16"/>
      <c r="H51" s="16"/>
      <c r="I51" s="16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6"/>
      <c r="W51" s="6"/>
    </row>
    <row r="52">
      <c r="A52" s="9" t="s">
        <v>11</v>
      </c>
      <c r="B52" s="10">
        <v>45717.0</v>
      </c>
      <c r="C52" s="134">
        <v>1.0</v>
      </c>
      <c r="D52" s="16"/>
      <c r="E52" s="16"/>
      <c r="F52" s="16"/>
      <c r="G52" s="16"/>
      <c r="H52" s="16"/>
      <c r="I52" s="16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6"/>
      <c r="W52" s="6"/>
    </row>
    <row r="53">
      <c r="A53" s="9" t="s">
        <v>12</v>
      </c>
      <c r="B53" s="10">
        <v>45718.0</v>
      </c>
      <c r="C53" s="134">
        <v>1.0</v>
      </c>
      <c r="D53" s="16"/>
      <c r="E53" s="16"/>
      <c r="F53" s="16"/>
      <c r="G53" s="16"/>
      <c r="H53" s="16"/>
      <c r="I53" s="16"/>
      <c r="J53" s="16"/>
      <c r="K53" s="16"/>
      <c r="L53" s="16"/>
      <c r="M53" s="16"/>
      <c r="N53" s="16"/>
      <c r="O53" s="16"/>
      <c r="P53" s="16"/>
      <c r="Q53" s="16"/>
      <c r="R53" s="16"/>
      <c r="S53" s="16"/>
      <c r="T53" s="16"/>
      <c r="U53" s="16"/>
      <c r="V53" s="6"/>
      <c r="W53" s="6"/>
    </row>
    <row r="54">
      <c r="A54" s="9" t="s">
        <v>17</v>
      </c>
      <c r="B54" s="10">
        <v>45719.0</v>
      </c>
      <c r="C54" s="138">
        <v>1.0</v>
      </c>
      <c r="D54" s="16"/>
      <c r="E54" s="16"/>
      <c r="F54" s="16"/>
      <c r="G54" s="16"/>
      <c r="H54" s="16"/>
      <c r="I54" s="16"/>
      <c r="J54" s="16"/>
      <c r="K54" s="16"/>
      <c r="L54" s="16"/>
      <c r="M54" s="16"/>
      <c r="N54" s="16"/>
      <c r="O54" s="16"/>
      <c r="P54" s="16"/>
      <c r="Q54" s="16"/>
      <c r="R54" s="16"/>
      <c r="S54" s="16"/>
      <c r="T54" s="16"/>
      <c r="U54" s="16"/>
      <c r="V54" s="6"/>
      <c r="W54" s="6"/>
    </row>
    <row r="55">
      <c r="A55" s="9" t="s">
        <v>18</v>
      </c>
      <c r="B55" s="10">
        <v>45720.0</v>
      </c>
      <c r="C55" s="134">
        <v>1.0</v>
      </c>
      <c r="D55" s="16"/>
      <c r="E55" s="16"/>
      <c r="F55" s="16"/>
      <c r="G55" s="16"/>
      <c r="H55" s="16"/>
      <c r="I55" s="16"/>
      <c r="J55" s="16"/>
      <c r="K55" s="16"/>
      <c r="L55" s="16"/>
      <c r="M55" s="16"/>
      <c r="N55" s="16"/>
      <c r="O55" s="16"/>
      <c r="P55" s="16"/>
      <c r="Q55" s="16"/>
      <c r="R55" s="16"/>
      <c r="S55" s="16"/>
      <c r="T55" s="16"/>
      <c r="U55" s="16"/>
      <c r="V55" s="6"/>
      <c r="W55" s="6"/>
    </row>
    <row r="56">
      <c r="A56" s="9" t="s">
        <v>19</v>
      </c>
      <c r="B56" s="10">
        <v>45721.0</v>
      </c>
      <c r="C56" s="134">
        <v>1.0</v>
      </c>
      <c r="D56" s="16"/>
      <c r="E56" s="16"/>
      <c r="F56" s="16"/>
      <c r="G56" s="16"/>
      <c r="H56" s="16"/>
      <c r="I56" s="16"/>
      <c r="J56" s="16"/>
      <c r="K56" s="16"/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6"/>
      <c r="W56" s="6"/>
    </row>
    <row r="57">
      <c r="A57" s="9" t="s">
        <v>22</v>
      </c>
      <c r="B57" s="10">
        <v>45722.0</v>
      </c>
      <c r="C57" s="134">
        <v>1.0</v>
      </c>
      <c r="D57" s="16"/>
      <c r="E57" s="16"/>
      <c r="F57" s="16"/>
      <c r="G57" s="16"/>
      <c r="H57" s="16"/>
      <c r="I57" s="16"/>
      <c r="J57" s="16"/>
      <c r="K57" s="16"/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6"/>
      <c r="W57" s="6"/>
    </row>
    <row r="58">
      <c r="A58" s="29" t="s">
        <v>23</v>
      </c>
      <c r="B58" s="30">
        <v>45723.0</v>
      </c>
      <c r="C58" s="142">
        <v>0.0</v>
      </c>
      <c r="D58" s="16"/>
      <c r="E58" s="16"/>
      <c r="F58" s="16"/>
      <c r="G58" s="16"/>
      <c r="H58" s="16"/>
      <c r="I58" s="16"/>
      <c r="J58" s="16"/>
      <c r="K58" s="16"/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6"/>
      <c r="W58" s="6"/>
    </row>
    <row r="59">
      <c r="A59" s="9" t="s">
        <v>11</v>
      </c>
      <c r="B59" s="10">
        <v>45724.0</v>
      </c>
      <c r="C59" s="134">
        <v>0.0</v>
      </c>
      <c r="D59" s="16"/>
      <c r="E59" s="16"/>
      <c r="F59" s="16"/>
      <c r="G59" s="16"/>
      <c r="H59" s="16"/>
      <c r="I59" s="16"/>
      <c r="J59" s="16"/>
      <c r="K59" s="16"/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6"/>
      <c r="W59" s="6"/>
    </row>
    <row r="60">
      <c r="A60" s="9" t="s">
        <v>12</v>
      </c>
      <c r="B60" s="10">
        <v>45725.0</v>
      </c>
      <c r="C60" s="134">
        <v>1.0</v>
      </c>
      <c r="D60" s="16"/>
      <c r="E60" s="16"/>
      <c r="F60" s="16"/>
      <c r="G60" s="16"/>
      <c r="H60" s="16"/>
      <c r="I60" s="16"/>
      <c r="J60" s="16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6"/>
      <c r="W60" s="6"/>
    </row>
    <row r="61">
      <c r="A61" s="9" t="s">
        <v>17</v>
      </c>
      <c r="B61" s="10">
        <v>45726.0</v>
      </c>
      <c r="C61" s="138">
        <v>1.0</v>
      </c>
      <c r="D61" s="16"/>
      <c r="E61" s="16"/>
      <c r="F61" s="16"/>
      <c r="G61" s="16"/>
      <c r="H61" s="16"/>
      <c r="I61" s="16"/>
      <c r="J61" s="16"/>
      <c r="K61" s="16"/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6"/>
      <c r="W61" s="6"/>
    </row>
    <row r="62">
      <c r="A62" s="9" t="s">
        <v>18</v>
      </c>
      <c r="B62" s="10">
        <v>45727.0</v>
      </c>
      <c r="C62" s="134">
        <v>1.0</v>
      </c>
      <c r="D62" s="16"/>
      <c r="E62" s="16"/>
      <c r="F62" s="16"/>
      <c r="G62" s="16"/>
      <c r="H62" s="16"/>
      <c r="I62" s="16"/>
      <c r="J62" s="16"/>
      <c r="K62" s="16"/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6"/>
      <c r="W62" s="6"/>
    </row>
    <row r="63">
      <c r="A63" s="9" t="s">
        <v>19</v>
      </c>
      <c r="B63" s="10">
        <v>45728.0</v>
      </c>
      <c r="C63" s="134">
        <v>1.0</v>
      </c>
      <c r="D63" s="16"/>
      <c r="E63" s="16"/>
      <c r="F63" s="16"/>
      <c r="G63" s="16"/>
      <c r="H63" s="16"/>
      <c r="I63" s="16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6"/>
      <c r="W63" s="6"/>
    </row>
    <row r="64">
      <c r="A64" s="9" t="s">
        <v>22</v>
      </c>
      <c r="B64" s="10">
        <v>45729.0</v>
      </c>
      <c r="C64" s="134">
        <v>1.0</v>
      </c>
    </row>
    <row r="65">
      <c r="A65" s="29" t="s">
        <v>23</v>
      </c>
      <c r="B65" s="30">
        <v>45730.0</v>
      </c>
      <c r="C65" s="142">
        <v>1.0</v>
      </c>
    </row>
    <row r="66">
      <c r="A66" s="9" t="s">
        <v>11</v>
      </c>
      <c r="B66" s="10">
        <v>45731.0</v>
      </c>
      <c r="C66" s="134">
        <v>1.0</v>
      </c>
    </row>
    <row r="67">
      <c r="A67" s="9" t="s">
        <v>12</v>
      </c>
      <c r="B67" s="10">
        <v>45732.0</v>
      </c>
      <c r="C67" s="134">
        <v>1.0</v>
      </c>
    </row>
    <row r="68">
      <c r="A68" s="9" t="s">
        <v>17</v>
      </c>
      <c r="B68" s="10">
        <v>45733.0</v>
      </c>
      <c r="C68" s="138">
        <v>1.0</v>
      </c>
    </row>
    <row r="69">
      <c r="A69" s="9" t="s">
        <v>18</v>
      </c>
      <c r="B69" s="10">
        <v>45734.0</v>
      </c>
      <c r="C69" s="134">
        <v>1.0</v>
      </c>
    </row>
    <row r="70">
      <c r="A70" s="9" t="s">
        <v>19</v>
      </c>
      <c r="B70" s="10">
        <v>45735.0</v>
      </c>
      <c r="C70" s="134">
        <v>1.0</v>
      </c>
    </row>
    <row r="71">
      <c r="A71" s="9" t="s">
        <v>22</v>
      </c>
      <c r="B71" s="10">
        <v>45736.0</v>
      </c>
      <c r="C71" s="134">
        <v>1.0</v>
      </c>
    </row>
    <row r="72">
      <c r="A72" s="29" t="s">
        <v>23</v>
      </c>
      <c r="B72" s="30">
        <v>45737.0</v>
      </c>
      <c r="C72" s="142">
        <v>1.0</v>
      </c>
    </row>
    <row r="73">
      <c r="A73" s="9" t="s">
        <v>11</v>
      </c>
      <c r="B73" s="10">
        <v>45738.0</v>
      </c>
      <c r="C73" s="134">
        <v>1.0</v>
      </c>
    </row>
    <row r="74">
      <c r="A74" s="9" t="s">
        <v>12</v>
      </c>
      <c r="B74" s="10">
        <v>45739.0</v>
      </c>
      <c r="C74" s="134">
        <v>1.0</v>
      </c>
    </row>
    <row r="75">
      <c r="A75" s="9" t="s">
        <v>17</v>
      </c>
      <c r="B75" s="10">
        <v>45740.0</v>
      </c>
      <c r="C75" s="138">
        <v>1.0</v>
      </c>
    </row>
    <row r="76">
      <c r="A76" s="9" t="s">
        <v>18</v>
      </c>
      <c r="B76" s="10">
        <v>45741.0</v>
      </c>
      <c r="C76" s="148">
        <v>1.0</v>
      </c>
    </row>
    <row r="77">
      <c r="A77" s="9" t="s">
        <v>19</v>
      </c>
      <c r="B77" s="10">
        <v>45742.0</v>
      </c>
      <c r="C77" s="134">
        <v>1.0</v>
      </c>
    </row>
    <row r="78">
      <c r="A78" s="9" t="s">
        <v>22</v>
      </c>
      <c r="B78" s="10">
        <v>45743.0</v>
      </c>
      <c r="C78" s="134">
        <v>0.5</v>
      </c>
    </row>
    <row r="79">
      <c r="A79" s="151" t="s">
        <v>23</v>
      </c>
      <c r="B79" s="152">
        <v>45744.0</v>
      </c>
      <c r="C79" s="153">
        <v>0.0</v>
      </c>
    </row>
    <row r="80">
      <c r="A80" s="9" t="s">
        <v>11</v>
      </c>
      <c r="B80" s="10">
        <v>45745.0</v>
      </c>
      <c r="C80" s="157">
        <v>0.0</v>
      </c>
    </row>
    <row r="81">
      <c r="A81" s="9" t="s">
        <v>12</v>
      </c>
      <c r="B81" s="10">
        <v>45746.0</v>
      </c>
      <c r="C81" s="162">
        <v>0.0</v>
      </c>
    </row>
    <row r="82">
      <c r="A82" s="9" t="s">
        <v>17</v>
      </c>
      <c r="B82" s="10">
        <v>45747.0</v>
      </c>
      <c r="C82" s="168">
        <v>0.0</v>
      </c>
    </row>
    <row r="83">
      <c r="A83" s="16"/>
      <c r="B83" s="172" t="s">
        <v>352</v>
      </c>
      <c r="C83" s="162">
        <v>2.0</v>
      </c>
    </row>
    <row r="84">
      <c r="A84" s="6"/>
      <c r="B84" s="66"/>
      <c r="C84" s="178">
        <f>SUM(C52:C83)</f>
        <v>26.5</v>
      </c>
    </row>
    <row r="85">
      <c r="C85" s="185">
        <v>1296.29</v>
      </c>
    </row>
    <row r="86">
      <c r="C86" s="193">
        <f>C84*C85</f>
        <v>34351.685</v>
      </c>
    </row>
  </sheetData>
  <drawing r:id="rId1"/>
  <tableParts count="2"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9" max="9" width="13.13"/>
    <col customWidth="1" min="10" max="10" width="38.38"/>
    <col customWidth="1" min="11" max="11" width="21.13"/>
    <col customWidth="1" min="12" max="12" width="22.63"/>
    <col customWidth="1" min="13" max="13" width="33.38"/>
    <col customWidth="1" min="14" max="14" width="58.25"/>
    <col customWidth="1" min="15" max="15" width="22.38"/>
  </cols>
  <sheetData>
    <row r="5">
      <c r="H5" s="201"/>
      <c r="I5" s="202"/>
      <c r="J5" s="203" t="s">
        <v>353</v>
      </c>
      <c r="K5" s="203" t="s">
        <v>4</v>
      </c>
      <c r="L5" s="203" t="s">
        <v>354</v>
      </c>
      <c r="M5" s="204" t="s">
        <v>355</v>
      </c>
      <c r="N5" s="205"/>
      <c r="O5" s="205"/>
    </row>
    <row r="6">
      <c r="H6" s="190"/>
      <c r="I6" s="206"/>
      <c r="J6" s="160" t="s">
        <v>356</v>
      </c>
      <c r="K6" s="194">
        <v>30000.0</v>
      </c>
      <c r="L6" s="207">
        <v>30000.0</v>
      </c>
      <c r="M6" s="194">
        <f t="shared" ref="M6:M25" si="1">K6-L6</f>
        <v>0</v>
      </c>
      <c r="N6" s="208"/>
      <c r="O6" s="208"/>
    </row>
    <row r="7">
      <c r="H7" s="201"/>
      <c r="I7" s="202"/>
      <c r="J7" s="209" t="s">
        <v>357</v>
      </c>
      <c r="K7" s="194">
        <v>30000.0</v>
      </c>
      <c r="L7" s="186">
        <v>30000.0</v>
      </c>
      <c r="M7" s="194">
        <f t="shared" si="1"/>
        <v>0</v>
      </c>
      <c r="N7" s="208"/>
      <c r="O7" s="208"/>
    </row>
    <row r="8">
      <c r="H8" s="190"/>
      <c r="I8" s="137">
        <v>1.0</v>
      </c>
      <c r="J8" s="160" t="s">
        <v>329</v>
      </c>
      <c r="K8" s="194">
        <f>Pointage!C36</f>
        <v>30960</v>
      </c>
      <c r="L8" s="186">
        <v>31000.0</v>
      </c>
      <c r="M8" s="194">
        <f t="shared" si="1"/>
        <v>-40</v>
      </c>
      <c r="N8" s="210" t="s">
        <v>358</v>
      </c>
      <c r="O8" s="208"/>
    </row>
    <row r="9">
      <c r="H9" s="201"/>
      <c r="I9" s="211">
        <v>2.0</v>
      </c>
      <c r="J9" s="209" t="s">
        <v>359</v>
      </c>
      <c r="K9" s="194">
        <f>Pointage!D36</f>
        <v>35805</v>
      </c>
      <c r="L9" s="186">
        <v>36000.0</v>
      </c>
      <c r="M9" s="194">
        <f t="shared" si="1"/>
        <v>-195</v>
      </c>
      <c r="N9" s="210" t="s">
        <v>360</v>
      </c>
      <c r="O9" s="212"/>
    </row>
    <row r="10">
      <c r="H10" s="190"/>
      <c r="I10" s="137">
        <v>3.0</v>
      </c>
      <c r="J10" s="160" t="s">
        <v>361</v>
      </c>
      <c r="K10" s="194">
        <f>Pointage!E36</f>
        <v>30896.25</v>
      </c>
      <c r="L10" s="186">
        <v>31000.0</v>
      </c>
      <c r="M10" s="194">
        <f t="shared" si="1"/>
        <v>-103.75</v>
      </c>
      <c r="N10" s="210" t="s">
        <v>362</v>
      </c>
      <c r="O10" s="212"/>
    </row>
    <row r="11">
      <c r="H11" s="201"/>
      <c r="I11" s="211">
        <v>4.0</v>
      </c>
      <c r="J11" s="213" t="s">
        <v>332</v>
      </c>
      <c r="K11" s="194">
        <f>Pointage!F36</f>
        <v>18480</v>
      </c>
      <c r="L11" s="186">
        <v>18500.0</v>
      </c>
      <c r="M11" s="194">
        <f t="shared" si="1"/>
        <v>-20</v>
      </c>
      <c r="N11" s="210" t="s">
        <v>363</v>
      </c>
      <c r="O11" s="212"/>
    </row>
    <row r="12">
      <c r="H12" s="190"/>
      <c r="I12" s="137">
        <v>5.0</v>
      </c>
      <c r="J12" s="160" t="s">
        <v>333</v>
      </c>
      <c r="K12" s="194">
        <f>Pointage!G36</f>
        <v>22220</v>
      </c>
      <c r="L12" s="194"/>
      <c r="M12" s="194">
        <f t="shared" si="1"/>
        <v>22220</v>
      </c>
      <c r="N12" s="208"/>
      <c r="O12" s="208"/>
    </row>
    <row r="13">
      <c r="H13" s="201"/>
      <c r="I13" s="211">
        <v>6.0</v>
      </c>
      <c r="J13" s="209" t="s">
        <v>364</v>
      </c>
      <c r="K13" s="194">
        <f>Pointage!H36+N13</f>
        <v>33875</v>
      </c>
      <c r="L13" s="214">
        <v>34000.0</v>
      </c>
      <c r="M13" s="194">
        <f t="shared" si="1"/>
        <v>-125</v>
      </c>
      <c r="N13" s="210">
        <v>5000.0</v>
      </c>
      <c r="O13" s="212"/>
    </row>
    <row r="14">
      <c r="H14" s="190"/>
      <c r="I14" s="137">
        <v>7.0</v>
      </c>
      <c r="J14" s="160" t="s">
        <v>335</v>
      </c>
      <c r="K14" s="194">
        <f>Pointage!I36</f>
        <v>16170</v>
      </c>
      <c r="L14" s="214">
        <v>16500.0</v>
      </c>
      <c r="M14" s="194">
        <f t="shared" si="1"/>
        <v>-330</v>
      </c>
      <c r="N14" s="208"/>
      <c r="O14" s="208"/>
    </row>
    <row r="15">
      <c r="H15" s="201"/>
      <c r="I15" s="211">
        <v>8.0</v>
      </c>
      <c r="J15" s="209" t="s">
        <v>336</v>
      </c>
      <c r="K15" s="194">
        <f>Pointage!J36</f>
        <v>34351.685</v>
      </c>
      <c r="L15" s="186">
        <v>34500.0</v>
      </c>
      <c r="M15" s="194">
        <f t="shared" si="1"/>
        <v>-148.315</v>
      </c>
      <c r="N15" s="210" t="s">
        <v>365</v>
      </c>
      <c r="O15" s="208"/>
    </row>
    <row r="16">
      <c r="H16" s="215">
        <v>5000.0</v>
      </c>
      <c r="I16" s="137">
        <v>9.0</v>
      </c>
      <c r="J16" s="160" t="s">
        <v>366</v>
      </c>
      <c r="K16" s="194">
        <f>Pointage!K36</f>
        <v>12000</v>
      </c>
      <c r="L16" s="214">
        <v>12000.0</v>
      </c>
      <c r="M16" s="194">
        <f t="shared" si="1"/>
        <v>0</v>
      </c>
      <c r="N16" s="210" t="s">
        <v>367</v>
      </c>
      <c r="O16" s="208"/>
    </row>
    <row r="17">
      <c r="H17" s="201"/>
      <c r="I17" s="211">
        <v>10.0</v>
      </c>
      <c r="J17" s="213" t="s">
        <v>368</v>
      </c>
      <c r="K17" s="194">
        <f>Pointage!L36</f>
        <v>41600</v>
      </c>
      <c r="L17" s="186">
        <v>42000.0</v>
      </c>
      <c r="M17" s="194">
        <f t="shared" si="1"/>
        <v>-400</v>
      </c>
      <c r="N17" s="208"/>
      <c r="O17" s="210">
        <v>45000.0</v>
      </c>
    </row>
    <row r="18">
      <c r="H18" s="190"/>
      <c r="I18" s="137">
        <v>11.0</v>
      </c>
      <c r="J18" s="157" t="s">
        <v>369</v>
      </c>
      <c r="K18" s="194">
        <f>Pointage!M36</f>
        <v>43550</v>
      </c>
      <c r="L18" s="214">
        <v>44000.0</v>
      </c>
      <c r="M18" s="194">
        <f t="shared" si="1"/>
        <v>-450</v>
      </c>
      <c r="N18" s="208"/>
      <c r="O18" s="210">
        <v>45000.0</v>
      </c>
    </row>
    <row r="19">
      <c r="H19" s="201"/>
      <c r="I19" s="211">
        <v>12.0</v>
      </c>
      <c r="J19" s="213" t="s">
        <v>340</v>
      </c>
      <c r="K19" s="186">
        <v>30000.0</v>
      </c>
      <c r="L19" s="214">
        <v>30000.0</v>
      </c>
      <c r="M19" s="194">
        <f t="shared" si="1"/>
        <v>0</v>
      </c>
      <c r="N19" s="208"/>
      <c r="O19" s="208"/>
    </row>
    <row r="20">
      <c r="H20" s="190"/>
      <c r="I20" s="137">
        <v>13.0</v>
      </c>
      <c r="J20" s="157" t="s">
        <v>370</v>
      </c>
      <c r="K20" s="194">
        <f>Pointage!O36</f>
        <v>7000</v>
      </c>
      <c r="L20" s="216"/>
      <c r="M20" s="194">
        <f t="shared" si="1"/>
        <v>7000</v>
      </c>
      <c r="N20" s="208"/>
      <c r="O20" s="208"/>
    </row>
    <row r="21">
      <c r="H21" s="201"/>
      <c r="I21" s="211">
        <v>14.0</v>
      </c>
      <c r="J21" s="213" t="s">
        <v>371</v>
      </c>
      <c r="K21" s="194">
        <f>Pointage!P36</f>
        <v>14400</v>
      </c>
      <c r="L21" s="214">
        <v>15000.0</v>
      </c>
      <c r="M21" s="194">
        <f t="shared" si="1"/>
        <v>-600</v>
      </c>
      <c r="N21" s="208"/>
      <c r="O21" s="208"/>
    </row>
    <row r="22">
      <c r="H22" s="190"/>
      <c r="I22" s="137">
        <v>15.0</v>
      </c>
      <c r="J22" s="157" t="s">
        <v>372</v>
      </c>
      <c r="K22" s="194">
        <f>Pointage!S36</f>
        <v>5000</v>
      </c>
      <c r="L22" s="214">
        <v>5000.0</v>
      </c>
      <c r="M22" s="194">
        <f t="shared" si="1"/>
        <v>0</v>
      </c>
      <c r="N22" s="208"/>
      <c r="O22" s="208"/>
    </row>
    <row r="23">
      <c r="H23" s="190"/>
      <c r="I23" s="134">
        <v>16.0</v>
      </c>
      <c r="J23" s="157" t="s">
        <v>373</v>
      </c>
      <c r="K23" s="194">
        <f>Pointage!R36</f>
        <v>7400</v>
      </c>
      <c r="L23" s="186">
        <v>7500.0</v>
      </c>
      <c r="M23" s="194">
        <f t="shared" si="1"/>
        <v>-100</v>
      </c>
      <c r="N23" s="208"/>
      <c r="O23" s="208"/>
    </row>
    <row r="24">
      <c r="H24" s="201"/>
      <c r="I24" s="202"/>
      <c r="J24" s="217" t="s">
        <v>374</v>
      </c>
      <c r="K24" s="218">
        <f t="shared" ref="K24:L24" si="2">SUM(K6:K23)</f>
        <v>443707.935</v>
      </c>
      <c r="L24" s="219">
        <f t="shared" si="2"/>
        <v>417000</v>
      </c>
      <c r="M24" s="220">
        <f t="shared" si="1"/>
        <v>26707.935</v>
      </c>
      <c r="N24" s="221"/>
      <c r="O24" s="221"/>
    </row>
    <row r="25">
      <c r="H25" s="190"/>
      <c r="I25" s="206"/>
      <c r="J25" s="222"/>
      <c r="K25" s="223"/>
      <c r="L25" s="224"/>
      <c r="M25" s="225">
        <f t="shared" si="1"/>
        <v>0</v>
      </c>
      <c r="N25" s="226"/>
      <c r="O25" s="226"/>
    </row>
    <row r="26">
      <c r="H26" s="227"/>
      <c r="I26" s="228"/>
      <c r="J26" s="228"/>
      <c r="K26" s="228"/>
      <c r="L26" s="228"/>
      <c r="M26" s="228"/>
      <c r="N26" s="229"/>
      <c r="O26" s="229"/>
    </row>
    <row r="27">
      <c r="H27" s="197"/>
      <c r="I27" s="230"/>
      <c r="J27" s="230"/>
      <c r="K27" s="230"/>
      <c r="L27" s="230"/>
      <c r="M27" s="230"/>
      <c r="N27" s="231"/>
      <c r="O27" s="231"/>
    </row>
    <row r="28">
      <c r="H28" s="227"/>
      <c r="I28" s="228"/>
      <c r="J28" s="228"/>
      <c r="K28" s="228"/>
      <c r="L28" s="228"/>
      <c r="M28" s="229"/>
      <c r="N28" s="229"/>
      <c r="O28" s="229"/>
    </row>
    <row r="29">
      <c r="H29" s="16"/>
      <c r="I29" s="232"/>
      <c r="J29" s="232"/>
      <c r="K29" s="232"/>
      <c r="L29" s="232"/>
      <c r="M29" s="232"/>
      <c r="N29" s="233"/>
    </row>
    <row r="30">
      <c r="H30" s="16"/>
      <c r="I30" s="232"/>
      <c r="J30" s="232"/>
      <c r="K30" s="232"/>
      <c r="L30" s="232"/>
      <c r="M30" s="232"/>
      <c r="N30" s="233"/>
    </row>
    <row r="31">
      <c r="H31" s="16"/>
      <c r="I31" s="232"/>
      <c r="J31" s="232"/>
      <c r="K31" s="232"/>
      <c r="L31" s="232"/>
      <c r="M31" s="232"/>
      <c r="N31" s="233"/>
    </row>
    <row r="32">
      <c r="I32" s="233"/>
      <c r="J32" s="233"/>
      <c r="K32" s="233"/>
      <c r="L32" s="233"/>
      <c r="M32" s="233"/>
      <c r="N32" s="233"/>
    </row>
    <row r="33">
      <c r="I33" s="233"/>
      <c r="J33" s="233"/>
      <c r="K33" s="233"/>
      <c r="L33" s="233"/>
      <c r="M33" s="233"/>
      <c r="N33" s="233"/>
    </row>
  </sheetData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7" max="7" width="27.13"/>
    <col customWidth="1" min="8" max="8" width="31.38"/>
    <col customWidth="1" min="9" max="9" width="32.13"/>
    <col customWidth="1" min="10" max="10" width="34.88"/>
    <col customWidth="1" min="11" max="11" width="49.38"/>
  </cols>
  <sheetData>
    <row r="15">
      <c r="F15" s="6"/>
      <c r="G15" s="6"/>
      <c r="H15" s="234"/>
      <c r="I15" s="234"/>
      <c r="J15" s="6"/>
      <c r="K15" s="6"/>
    </row>
    <row r="16">
      <c r="F16" s="6"/>
      <c r="G16" s="1"/>
      <c r="H16" s="235" t="s">
        <v>375</v>
      </c>
      <c r="I16" s="235" t="s">
        <v>376</v>
      </c>
      <c r="J16" s="236" t="s">
        <v>377</v>
      </c>
      <c r="K16" s="6"/>
    </row>
    <row r="17">
      <c r="F17" s="6"/>
      <c r="G17" s="237" t="s">
        <v>2</v>
      </c>
      <c r="H17" s="28">
        <v>2033000.0</v>
      </c>
      <c r="I17" s="28">
        <v>1859000.0</v>
      </c>
      <c r="J17" s="28">
        <f>RECAP!D33</f>
        <v>2094000</v>
      </c>
      <c r="K17" s="6"/>
    </row>
    <row r="18">
      <c r="F18" s="6"/>
      <c r="G18" s="237" t="s">
        <v>3</v>
      </c>
      <c r="H18" s="28">
        <v>854000.0</v>
      </c>
      <c r="I18" s="28">
        <v>884000.0</v>
      </c>
      <c r="J18" s="238">
        <v>962000.0</v>
      </c>
      <c r="K18" s="6"/>
    </row>
    <row r="19">
      <c r="F19" s="6"/>
      <c r="G19" s="237" t="s">
        <v>378</v>
      </c>
      <c r="H19" s="28">
        <v>427000.0</v>
      </c>
      <c r="I19" s="28">
        <v>409000.0</v>
      </c>
      <c r="J19" s="238">
        <v>439000.0</v>
      </c>
      <c r="K19" s="6"/>
    </row>
    <row r="20">
      <c r="F20" s="6"/>
      <c r="G20" s="237" t="s">
        <v>379</v>
      </c>
      <c r="H20" s="28">
        <v>62000.0</v>
      </c>
      <c r="I20" s="28">
        <v>56000.0</v>
      </c>
      <c r="J20" s="28">
        <f>RECAP!G33</f>
        <v>60000</v>
      </c>
      <c r="K20" s="239">
        <f>J20+I20+H20</f>
        <v>178000</v>
      </c>
    </row>
    <row r="21">
      <c r="F21" s="6"/>
      <c r="G21" s="237" t="s">
        <v>380</v>
      </c>
      <c r="H21" s="28">
        <v>180000.0</v>
      </c>
      <c r="I21" s="28">
        <v>180000.0</v>
      </c>
      <c r="J21" s="28">
        <v>180000.0</v>
      </c>
      <c r="K21" s="6"/>
    </row>
    <row r="22">
      <c r="F22" s="6"/>
      <c r="G22" s="237" t="s">
        <v>381</v>
      </c>
      <c r="H22" s="28">
        <f t="shared" ref="H22:J22" si="1">H17-H18-H19-H20-H21</f>
        <v>510000</v>
      </c>
      <c r="I22" s="28">
        <f t="shared" si="1"/>
        <v>330000</v>
      </c>
      <c r="J22" s="28">
        <f t="shared" si="1"/>
        <v>453000</v>
      </c>
      <c r="K22" s="6"/>
    </row>
    <row r="23">
      <c r="F23" s="6"/>
      <c r="G23" s="6"/>
      <c r="H23" s="6"/>
      <c r="I23" s="6"/>
      <c r="J23" s="6"/>
      <c r="K23" s="6"/>
    </row>
    <row r="24">
      <c r="F24" s="6"/>
      <c r="G24" s="6"/>
      <c r="H24" s="6"/>
      <c r="I24" s="6"/>
      <c r="J24" s="6"/>
      <c r="K24" s="6"/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2.63"/>
    <col customWidth="1" min="4" max="4" width="22.25"/>
    <col customWidth="1" min="5" max="5" width="23.0"/>
    <col customWidth="1" min="6" max="6" width="18.88"/>
    <col customWidth="1" min="7" max="7" width="23.38"/>
    <col customWidth="1" min="8" max="8" width="19.63"/>
    <col customWidth="1" min="9" max="9" width="19.25"/>
    <col customWidth="1" min="10" max="11" width="18.5"/>
    <col customWidth="1" min="12" max="12" width="15.88"/>
    <col customWidth="1" min="13" max="13" width="17.38"/>
    <col customWidth="1" min="14" max="14" width="18.13"/>
    <col customWidth="1" min="15" max="15" width="17.0"/>
    <col customWidth="1" min="16" max="16" width="17.38"/>
    <col customWidth="1" min="17" max="17" width="19.63"/>
    <col customWidth="1" min="18" max="18" width="20.0"/>
    <col customWidth="1" min="19" max="19" width="27.88"/>
  </cols>
  <sheetData>
    <row r="7">
      <c r="A7" s="1"/>
      <c r="B7" s="2" t="s">
        <v>0</v>
      </c>
      <c r="C7" s="131" t="s">
        <v>329</v>
      </c>
      <c r="D7" s="131" t="s">
        <v>330</v>
      </c>
      <c r="E7" s="132" t="s">
        <v>331</v>
      </c>
      <c r="F7" s="132" t="s">
        <v>332</v>
      </c>
      <c r="G7" s="131" t="s">
        <v>333</v>
      </c>
      <c r="H7" s="131" t="s">
        <v>334</v>
      </c>
      <c r="I7" s="131" t="s">
        <v>335</v>
      </c>
      <c r="J7" s="131" t="s">
        <v>336</v>
      </c>
      <c r="K7" s="131" t="s">
        <v>337</v>
      </c>
      <c r="L7" s="132" t="s">
        <v>338</v>
      </c>
      <c r="M7" s="132" t="s">
        <v>339</v>
      </c>
      <c r="N7" s="132" t="s">
        <v>340</v>
      </c>
      <c r="O7" s="132" t="s">
        <v>341</v>
      </c>
      <c r="P7" s="132" t="s">
        <v>342</v>
      </c>
      <c r="Q7" s="132" t="s">
        <v>343</v>
      </c>
      <c r="R7" s="132" t="s">
        <v>344</v>
      </c>
      <c r="S7" s="132" t="s">
        <v>345</v>
      </c>
      <c r="T7" s="131"/>
      <c r="U7" s="133"/>
    </row>
    <row r="8">
      <c r="A8" s="9" t="s">
        <v>11</v>
      </c>
      <c r="B8" s="10">
        <v>45717.0</v>
      </c>
      <c r="C8" s="134">
        <v>1.0</v>
      </c>
      <c r="D8" s="134">
        <v>1.0</v>
      </c>
      <c r="E8" s="134">
        <v>1.0</v>
      </c>
      <c r="F8" s="134">
        <v>0.0</v>
      </c>
      <c r="G8" s="134">
        <v>0.0</v>
      </c>
      <c r="H8" s="134">
        <v>1.0</v>
      </c>
      <c r="I8" s="134">
        <v>0.0</v>
      </c>
      <c r="J8" s="134">
        <v>1.0</v>
      </c>
      <c r="K8" s="134">
        <v>0.0</v>
      </c>
      <c r="L8" s="134">
        <v>1.0</v>
      </c>
      <c r="M8" s="134">
        <v>1.0</v>
      </c>
      <c r="N8" s="134">
        <v>1.0</v>
      </c>
      <c r="O8" s="134">
        <v>0.0</v>
      </c>
      <c r="P8" s="134">
        <v>0.0</v>
      </c>
      <c r="Q8" s="135">
        <v>0.0</v>
      </c>
      <c r="R8" s="134">
        <v>7.4</v>
      </c>
      <c r="S8" s="136"/>
      <c r="T8" s="137"/>
      <c r="U8" s="137"/>
    </row>
    <row r="9">
      <c r="A9" s="9" t="s">
        <v>12</v>
      </c>
      <c r="B9" s="10">
        <v>45718.0</v>
      </c>
      <c r="C9" s="134">
        <v>1.0</v>
      </c>
      <c r="D9" s="134">
        <v>1.0</v>
      </c>
      <c r="E9" s="134">
        <v>1.0</v>
      </c>
      <c r="F9" s="134">
        <v>0.0</v>
      </c>
      <c r="G9" s="134">
        <v>0.0</v>
      </c>
      <c r="H9" s="134">
        <v>1.0</v>
      </c>
      <c r="I9" s="134">
        <v>1.0</v>
      </c>
      <c r="J9" s="134">
        <v>1.0</v>
      </c>
      <c r="K9" s="134">
        <v>0.0</v>
      </c>
      <c r="L9" s="134">
        <v>1.0</v>
      </c>
      <c r="M9" s="134">
        <v>1.0</v>
      </c>
      <c r="N9" s="134">
        <v>1.0</v>
      </c>
      <c r="O9" s="134">
        <v>0.0</v>
      </c>
      <c r="P9" s="134">
        <v>0.0</v>
      </c>
      <c r="Q9" s="135">
        <v>0.0</v>
      </c>
      <c r="R9" s="134">
        <v>0.0</v>
      </c>
      <c r="S9" s="136"/>
      <c r="T9" s="137"/>
      <c r="U9" s="137"/>
    </row>
    <row r="10">
      <c r="A10" s="9" t="s">
        <v>17</v>
      </c>
      <c r="B10" s="10">
        <v>45719.0</v>
      </c>
      <c r="C10" s="138">
        <v>1.0</v>
      </c>
      <c r="D10" s="138">
        <v>1.0</v>
      </c>
      <c r="E10" s="138">
        <v>0.75</v>
      </c>
      <c r="F10" s="138">
        <v>0.0</v>
      </c>
      <c r="G10" s="138">
        <v>1.0</v>
      </c>
      <c r="H10" s="138">
        <v>1.0</v>
      </c>
      <c r="I10" s="138">
        <v>0.0</v>
      </c>
      <c r="J10" s="138">
        <v>1.0</v>
      </c>
      <c r="K10" s="138">
        <v>0.0</v>
      </c>
      <c r="L10" s="138">
        <v>1.0</v>
      </c>
      <c r="M10" s="138">
        <v>1.0</v>
      </c>
      <c r="N10" s="138">
        <v>1.0</v>
      </c>
      <c r="O10" s="138">
        <v>0.0</v>
      </c>
      <c r="P10" s="138">
        <v>0.0</v>
      </c>
      <c r="Q10" s="139">
        <v>0.0</v>
      </c>
      <c r="R10" s="138">
        <v>0.0</v>
      </c>
      <c r="S10" s="140"/>
      <c r="T10" s="137"/>
      <c r="U10" s="138" t="s">
        <v>346</v>
      </c>
    </row>
    <row r="11">
      <c r="A11" s="9" t="s">
        <v>18</v>
      </c>
      <c r="B11" s="10">
        <v>45720.0</v>
      </c>
      <c r="C11" s="134">
        <v>1.0</v>
      </c>
      <c r="D11" s="134">
        <v>1.0</v>
      </c>
      <c r="E11" s="134">
        <v>1.0</v>
      </c>
      <c r="F11" s="134">
        <v>0.0</v>
      </c>
      <c r="G11" s="134">
        <v>1.0</v>
      </c>
      <c r="H11" s="134">
        <v>0.0</v>
      </c>
      <c r="I11" s="134">
        <v>1.0</v>
      </c>
      <c r="J11" s="134">
        <v>1.0</v>
      </c>
      <c r="K11" s="134">
        <v>0.0</v>
      </c>
      <c r="L11" s="134">
        <v>1.0</v>
      </c>
      <c r="M11" s="134">
        <v>1.0</v>
      </c>
      <c r="N11" s="134">
        <v>1.0</v>
      </c>
      <c r="O11" s="134">
        <v>0.0</v>
      </c>
      <c r="P11" s="134">
        <v>0.0</v>
      </c>
      <c r="Q11" s="135">
        <v>0.0</v>
      </c>
      <c r="R11" s="134">
        <v>0.0</v>
      </c>
      <c r="S11" s="136"/>
      <c r="T11" s="141"/>
      <c r="U11" s="134" t="s">
        <v>347</v>
      </c>
    </row>
    <row r="12">
      <c r="A12" s="9" t="s">
        <v>19</v>
      </c>
      <c r="B12" s="10">
        <v>45721.0</v>
      </c>
      <c r="C12" s="134">
        <v>1.0</v>
      </c>
      <c r="D12" s="134">
        <v>1.0</v>
      </c>
      <c r="E12" s="134">
        <v>1.0</v>
      </c>
      <c r="F12" s="134">
        <v>0.0</v>
      </c>
      <c r="G12" s="134">
        <v>1.0</v>
      </c>
      <c r="H12" s="134">
        <v>1.0</v>
      </c>
      <c r="I12" s="134">
        <v>0.0</v>
      </c>
      <c r="J12" s="134">
        <v>1.0</v>
      </c>
      <c r="K12" s="134">
        <v>0.0</v>
      </c>
      <c r="L12" s="134">
        <v>1.0</v>
      </c>
      <c r="M12" s="134">
        <v>1.0</v>
      </c>
      <c r="N12" s="134">
        <v>1.0</v>
      </c>
      <c r="O12" s="134">
        <v>0.0</v>
      </c>
      <c r="P12" s="134">
        <v>0.0</v>
      </c>
      <c r="Q12" s="135">
        <v>0.0</v>
      </c>
      <c r="R12" s="137"/>
      <c r="S12" s="136"/>
      <c r="T12" s="141"/>
      <c r="U12" s="134" t="s">
        <v>348</v>
      </c>
    </row>
    <row r="13">
      <c r="A13" s="9" t="s">
        <v>22</v>
      </c>
      <c r="B13" s="10">
        <v>45722.0</v>
      </c>
      <c r="C13" s="134">
        <v>1.0</v>
      </c>
      <c r="D13" s="134">
        <v>1.0</v>
      </c>
      <c r="E13" s="134">
        <v>1.0</v>
      </c>
      <c r="F13" s="134">
        <v>0.0</v>
      </c>
      <c r="G13" s="134">
        <v>1.0</v>
      </c>
      <c r="H13" s="134">
        <v>1.0</v>
      </c>
      <c r="I13" s="134">
        <v>1.0</v>
      </c>
      <c r="J13" s="134">
        <v>1.0</v>
      </c>
      <c r="K13" s="134">
        <v>0.0</v>
      </c>
      <c r="L13" s="134">
        <v>1.0</v>
      </c>
      <c r="M13" s="134">
        <v>1.0</v>
      </c>
      <c r="N13" s="134">
        <v>1.0</v>
      </c>
      <c r="O13" s="134">
        <v>0.0</v>
      </c>
      <c r="P13" s="134">
        <v>0.0</v>
      </c>
      <c r="Q13" s="135">
        <v>0.0</v>
      </c>
      <c r="R13" s="134">
        <v>0.0</v>
      </c>
      <c r="S13" s="136"/>
      <c r="T13" s="141"/>
      <c r="U13" s="137"/>
    </row>
    <row r="14">
      <c r="A14" s="29" t="s">
        <v>23</v>
      </c>
      <c r="B14" s="30">
        <v>45723.0</v>
      </c>
      <c r="C14" s="142">
        <v>0.0</v>
      </c>
      <c r="D14" s="142">
        <v>1.0</v>
      </c>
      <c r="E14" s="142">
        <v>1.0</v>
      </c>
      <c r="F14" s="142">
        <v>0.0</v>
      </c>
      <c r="G14" s="142">
        <v>0.0</v>
      </c>
      <c r="H14" s="142">
        <v>1.0</v>
      </c>
      <c r="I14" s="142">
        <v>0.0</v>
      </c>
      <c r="J14" s="142">
        <v>0.0</v>
      </c>
      <c r="K14" s="142">
        <v>1.0</v>
      </c>
      <c r="L14" s="142">
        <v>0.0</v>
      </c>
      <c r="M14" s="142">
        <v>1.0</v>
      </c>
      <c r="N14" s="142">
        <v>0.0</v>
      </c>
      <c r="O14" s="142">
        <v>0.0</v>
      </c>
      <c r="P14" s="142">
        <v>0.0</v>
      </c>
      <c r="Q14" s="143">
        <v>0.0</v>
      </c>
      <c r="R14" s="144"/>
      <c r="S14" s="145"/>
      <c r="T14" s="146"/>
      <c r="U14" s="144"/>
    </row>
    <row r="15">
      <c r="A15" s="9" t="s">
        <v>11</v>
      </c>
      <c r="B15" s="10">
        <v>45724.0</v>
      </c>
      <c r="C15" s="134">
        <v>1.0</v>
      </c>
      <c r="D15" s="134">
        <v>1.0</v>
      </c>
      <c r="E15" s="134">
        <v>0.0</v>
      </c>
      <c r="F15" s="134">
        <v>0.0</v>
      </c>
      <c r="G15" s="134">
        <v>0.0</v>
      </c>
      <c r="H15" s="134">
        <v>1.0</v>
      </c>
      <c r="I15" s="134">
        <v>1.0</v>
      </c>
      <c r="J15" s="134">
        <v>0.0</v>
      </c>
      <c r="K15" s="134">
        <v>0.0</v>
      </c>
      <c r="L15" s="134">
        <v>1.0</v>
      </c>
      <c r="M15" s="134">
        <v>1.0</v>
      </c>
      <c r="N15" s="134">
        <v>1.0</v>
      </c>
      <c r="O15" s="134">
        <v>0.0</v>
      </c>
      <c r="P15" s="134">
        <v>0.0</v>
      </c>
      <c r="Q15" s="135">
        <v>0.0</v>
      </c>
      <c r="R15" s="134">
        <v>0.0</v>
      </c>
      <c r="S15" s="136"/>
      <c r="T15" s="141"/>
      <c r="U15" s="137"/>
    </row>
    <row r="16">
      <c r="A16" s="9" t="s">
        <v>12</v>
      </c>
      <c r="B16" s="10">
        <v>45725.0</v>
      </c>
      <c r="C16" s="134">
        <v>1.0</v>
      </c>
      <c r="D16" s="134">
        <v>1.0</v>
      </c>
      <c r="E16" s="134">
        <v>1.0</v>
      </c>
      <c r="F16" s="134">
        <v>0.0</v>
      </c>
      <c r="G16" s="134">
        <v>0.0</v>
      </c>
      <c r="H16" s="134">
        <v>1.0</v>
      </c>
      <c r="I16" s="134">
        <v>0.0</v>
      </c>
      <c r="J16" s="134">
        <v>1.0</v>
      </c>
      <c r="K16" s="134">
        <v>0.0</v>
      </c>
      <c r="L16" s="134">
        <v>0.5</v>
      </c>
      <c r="M16" s="134">
        <v>1.0</v>
      </c>
      <c r="N16" s="134">
        <v>1.0</v>
      </c>
      <c r="O16" s="134">
        <v>0.0</v>
      </c>
      <c r="P16" s="134">
        <v>1.0</v>
      </c>
      <c r="Q16" s="135">
        <v>0.0</v>
      </c>
      <c r="R16" s="137"/>
      <c r="S16" s="136"/>
      <c r="T16" s="141"/>
      <c r="U16" s="134" t="s">
        <v>349</v>
      </c>
    </row>
    <row r="17">
      <c r="A17" s="9" t="s">
        <v>17</v>
      </c>
      <c r="B17" s="10">
        <v>45726.0</v>
      </c>
      <c r="C17" s="138">
        <v>1.0</v>
      </c>
      <c r="D17" s="138">
        <v>1.0</v>
      </c>
      <c r="E17" s="138">
        <v>1.0</v>
      </c>
      <c r="F17" s="138">
        <v>0.0</v>
      </c>
      <c r="G17" s="138">
        <v>0.0</v>
      </c>
      <c r="H17" s="138">
        <v>1.0</v>
      </c>
      <c r="I17" s="138">
        <v>0.0</v>
      </c>
      <c r="J17" s="138">
        <v>1.0</v>
      </c>
      <c r="K17" s="138">
        <v>0.0</v>
      </c>
      <c r="L17" s="138">
        <v>0.0</v>
      </c>
      <c r="M17" s="138">
        <v>1.0</v>
      </c>
      <c r="N17" s="138">
        <v>1.0</v>
      </c>
      <c r="O17" s="138">
        <v>1.0</v>
      </c>
      <c r="P17" s="138">
        <v>0.0</v>
      </c>
      <c r="Q17" s="139">
        <v>0.0</v>
      </c>
      <c r="R17" s="138">
        <v>0.0</v>
      </c>
      <c r="S17" s="140"/>
      <c r="T17" s="141"/>
      <c r="U17" s="147"/>
    </row>
    <row r="18">
      <c r="A18" s="9" t="s">
        <v>18</v>
      </c>
      <c r="B18" s="10">
        <v>45727.0</v>
      </c>
      <c r="C18" s="134">
        <v>1.0</v>
      </c>
      <c r="D18" s="134">
        <v>1.0</v>
      </c>
      <c r="E18" s="134">
        <v>1.0</v>
      </c>
      <c r="F18" s="134">
        <v>1.0</v>
      </c>
      <c r="G18" s="134">
        <v>1.0</v>
      </c>
      <c r="H18" s="134">
        <v>0.0</v>
      </c>
      <c r="I18" s="134">
        <v>1.0</v>
      </c>
      <c r="J18" s="134">
        <v>1.0</v>
      </c>
      <c r="K18" s="134">
        <v>0.0</v>
      </c>
      <c r="L18" s="134">
        <v>1.0</v>
      </c>
      <c r="M18" s="134">
        <v>1.0</v>
      </c>
      <c r="N18" s="134">
        <v>1.0</v>
      </c>
      <c r="O18" s="134">
        <v>0.0</v>
      </c>
      <c r="P18" s="134">
        <v>1.0</v>
      </c>
      <c r="Q18" s="135">
        <v>0.0</v>
      </c>
      <c r="R18" s="134">
        <v>0.0</v>
      </c>
      <c r="S18" s="136"/>
      <c r="T18" s="141"/>
      <c r="U18" s="137"/>
    </row>
    <row r="19">
      <c r="A19" s="9" t="s">
        <v>19</v>
      </c>
      <c r="B19" s="10">
        <v>45728.0</v>
      </c>
      <c r="C19" s="134">
        <v>1.0</v>
      </c>
      <c r="D19" s="134">
        <v>1.0</v>
      </c>
      <c r="E19" s="134">
        <v>1.0</v>
      </c>
      <c r="F19" s="134">
        <v>1.0</v>
      </c>
      <c r="G19" s="134">
        <v>1.0</v>
      </c>
      <c r="H19" s="134">
        <v>1.0</v>
      </c>
      <c r="I19" s="134">
        <v>0.0</v>
      </c>
      <c r="J19" s="134">
        <v>1.0</v>
      </c>
      <c r="K19" s="134">
        <v>0.0</v>
      </c>
      <c r="L19" s="134">
        <v>1.0</v>
      </c>
      <c r="M19" s="134">
        <v>1.0</v>
      </c>
      <c r="N19" s="134">
        <v>1.0</v>
      </c>
      <c r="O19" s="134">
        <v>1.0</v>
      </c>
      <c r="P19" s="134">
        <v>0.0</v>
      </c>
      <c r="Q19" s="135">
        <v>1.0</v>
      </c>
      <c r="R19" s="134">
        <v>0.0</v>
      </c>
      <c r="S19" s="136"/>
      <c r="T19" s="141"/>
      <c r="U19" s="137"/>
    </row>
    <row r="20">
      <c r="A20" s="9" t="s">
        <v>22</v>
      </c>
      <c r="B20" s="10">
        <v>45729.0</v>
      </c>
      <c r="C20" s="134">
        <v>1.0</v>
      </c>
      <c r="D20" s="134">
        <v>1.0</v>
      </c>
      <c r="E20" s="134">
        <v>1.0</v>
      </c>
      <c r="F20" s="134">
        <v>1.0</v>
      </c>
      <c r="G20" s="134">
        <v>1.0</v>
      </c>
      <c r="H20" s="134">
        <v>1.0</v>
      </c>
      <c r="I20" s="134">
        <v>1.0</v>
      </c>
      <c r="J20" s="134">
        <v>1.0</v>
      </c>
      <c r="K20" s="134">
        <v>0.0</v>
      </c>
      <c r="L20" s="134">
        <v>1.0</v>
      </c>
      <c r="M20" s="134">
        <v>1.0</v>
      </c>
      <c r="N20" s="134">
        <v>1.0</v>
      </c>
      <c r="O20" s="134">
        <v>0.0</v>
      </c>
      <c r="P20" s="134">
        <v>0.0</v>
      </c>
      <c r="Q20" s="135">
        <v>0.0</v>
      </c>
      <c r="R20" s="134">
        <v>0.0</v>
      </c>
      <c r="S20" s="136"/>
      <c r="T20" s="141"/>
      <c r="U20" s="137"/>
    </row>
    <row r="21">
      <c r="A21" s="29" t="s">
        <v>23</v>
      </c>
      <c r="B21" s="30">
        <v>45730.0</v>
      </c>
      <c r="C21" s="142">
        <v>0.0</v>
      </c>
      <c r="D21" s="142">
        <v>0.0</v>
      </c>
      <c r="E21" s="142">
        <v>1.0</v>
      </c>
      <c r="F21" s="142">
        <v>1.0</v>
      </c>
      <c r="G21" s="142">
        <v>0.0</v>
      </c>
      <c r="H21" s="142">
        <v>1.0</v>
      </c>
      <c r="I21" s="142">
        <v>1.0</v>
      </c>
      <c r="J21" s="142">
        <v>1.0</v>
      </c>
      <c r="K21" s="142">
        <v>1.0</v>
      </c>
      <c r="L21" s="142">
        <v>0.0</v>
      </c>
      <c r="M21" s="142">
        <v>1.0</v>
      </c>
      <c r="N21" s="142">
        <v>0.0</v>
      </c>
      <c r="O21" s="142">
        <v>0.0</v>
      </c>
      <c r="P21" s="142">
        <v>0.0</v>
      </c>
      <c r="Q21" s="143">
        <v>0.0</v>
      </c>
      <c r="R21" s="142">
        <v>0.0</v>
      </c>
      <c r="S21" s="145"/>
      <c r="T21" s="146"/>
      <c r="U21" s="144"/>
    </row>
    <row r="22">
      <c r="A22" s="9" t="s">
        <v>11</v>
      </c>
      <c r="B22" s="10">
        <v>45731.0</v>
      </c>
      <c r="C22" s="134">
        <v>1.0</v>
      </c>
      <c r="D22" s="134">
        <v>1.0</v>
      </c>
      <c r="E22" s="134">
        <v>0.0</v>
      </c>
      <c r="F22" s="134">
        <v>1.0</v>
      </c>
      <c r="G22" s="134">
        <v>0.0</v>
      </c>
      <c r="H22" s="134">
        <v>1.0</v>
      </c>
      <c r="I22" s="134">
        <v>0.0</v>
      </c>
      <c r="J22" s="134">
        <v>1.0</v>
      </c>
      <c r="K22" s="134">
        <v>0.0</v>
      </c>
      <c r="L22" s="134">
        <v>1.0</v>
      </c>
      <c r="M22" s="134">
        <v>1.0</v>
      </c>
      <c r="N22" s="134">
        <v>1.0</v>
      </c>
      <c r="O22" s="134">
        <v>0.0</v>
      </c>
      <c r="P22" s="134">
        <v>0.0</v>
      </c>
      <c r="Q22" s="135">
        <v>0.0</v>
      </c>
      <c r="R22" s="134">
        <v>0.0</v>
      </c>
      <c r="S22" s="136"/>
      <c r="T22" s="141"/>
      <c r="U22" s="137"/>
    </row>
    <row r="23">
      <c r="A23" s="9" t="s">
        <v>12</v>
      </c>
      <c r="B23" s="10">
        <v>45732.0</v>
      </c>
      <c r="C23" s="148">
        <v>1.0</v>
      </c>
      <c r="D23" s="148">
        <v>1.0</v>
      </c>
      <c r="E23" s="148">
        <v>1.0</v>
      </c>
      <c r="F23" s="148">
        <v>1.0</v>
      </c>
      <c r="G23" s="148">
        <v>0.0</v>
      </c>
      <c r="H23" s="148">
        <v>1.0</v>
      </c>
      <c r="I23" s="148">
        <v>1.0</v>
      </c>
      <c r="J23" s="134">
        <v>1.0</v>
      </c>
      <c r="K23" s="148">
        <v>0.0</v>
      </c>
      <c r="L23" s="134">
        <v>1.0</v>
      </c>
      <c r="M23" s="134">
        <v>1.0</v>
      </c>
      <c r="N23" s="134">
        <v>1.0</v>
      </c>
      <c r="O23" s="134">
        <v>0.0</v>
      </c>
      <c r="P23" s="134">
        <v>0.0</v>
      </c>
      <c r="Q23" s="135">
        <v>0.0</v>
      </c>
      <c r="R23" s="134">
        <v>0.0</v>
      </c>
      <c r="S23" s="136"/>
      <c r="T23" s="141"/>
      <c r="U23" s="137"/>
    </row>
    <row r="24">
      <c r="A24" s="9" t="s">
        <v>17</v>
      </c>
      <c r="B24" s="10">
        <v>45733.0</v>
      </c>
      <c r="C24" s="138">
        <v>1.0</v>
      </c>
      <c r="D24" s="138">
        <v>1.0</v>
      </c>
      <c r="E24" s="138">
        <v>1.0</v>
      </c>
      <c r="F24" s="138">
        <v>1.0</v>
      </c>
      <c r="G24" s="138">
        <v>1.0</v>
      </c>
      <c r="H24" s="138">
        <v>1.0</v>
      </c>
      <c r="I24" s="138">
        <v>0.0</v>
      </c>
      <c r="J24" s="138">
        <v>1.0</v>
      </c>
      <c r="K24" s="138">
        <v>0.0</v>
      </c>
      <c r="L24" s="138">
        <v>1.0</v>
      </c>
      <c r="M24" s="138">
        <v>0.0</v>
      </c>
      <c r="N24" s="138">
        <v>1.0</v>
      </c>
      <c r="O24" s="138">
        <v>0.0</v>
      </c>
      <c r="P24" s="138">
        <v>0.0</v>
      </c>
      <c r="Q24" s="139">
        <v>0.0</v>
      </c>
      <c r="R24" s="138">
        <v>0.0</v>
      </c>
      <c r="S24" s="140"/>
      <c r="T24" s="141"/>
      <c r="U24" s="147"/>
    </row>
    <row r="25">
      <c r="A25" s="9" t="s">
        <v>18</v>
      </c>
      <c r="B25" s="10">
        <v>45734.0</v>
      </c>
      <c r="C25" s="134">
        <v>1.0</v>
      </c>
      <c r="D25" s="134">
        <v>1.0</v>
      </c>
      <c r="E25" s="134">
        <v>1.0</v>
      </c>
      <c r="F25" s="134">
        <v>1.0</v>
      </c>
      <c r="G25" s="134">
        <v>1.0</v>
      </c>
      <c r="H25" s="134">
        <v>0.0</v>
      </c>
      <c r="I25" s="134">
        <v>1.0</v>
      </c>
      <c r="J25" s="134">
        <v>1.0</v>
      </c>
      <c r="K25" s="134">
        <v>0.0</v>
      </c>
      <c r="L25" s="134">
        <v>1.0</v>
      </c>
      <c r="M25" s="134">
        <v>1.0</v>
      </c>
      <c r="N25" s="134">
        <v>1.0</v>
      </c>
      <c r="O25" s="134">
        <v>1.0</v>
      </c>
      <c r="P25" s="134">
        <v>1.0</v>
      </c>
      <c r="Q25" s="135">
        <v>0.0</v>
      </c>
      <c r="R25" s="134">
        <v>0.0</v>
      </c>
      <c r="S25" s="136"/>
      <c r="T25" s="141"/>
      <c r="U25" s="137"/>
    </row>
    <row r="26">
      <c r="A26" s="9" t="s">
        <v>19</v>
      </c>
      <c r="B26" s="10">
        <v>45735.0</v>
      </c>
      <c r="C26" s="134">
        <v>1.0</v>
      </c>
      <c r="D26" s="134">
        <v>1.0</v>
      </c>
      <c r="E26" s="134">
        <v>1.0</v>
      </c>
      <c r="F26" s="134">
        <v>1.0</v>
      </c>
      <c r="G26" s="134">
        <v>1.0</v>
      </c>
      <c r="H26" s="134">
        <v>0.0</v>
      </c>
      <c r="I26" s="134">
        <v>0.0</v>
      </c>
      <c r="J26" s="134">
        <v>1.0</v>
      </c>
      <c r="K26" s="134">
        <v>0.0</v>
      </c>
      <c r="L26" s="134">
        <v>0.5</v>
      </c>
      <c r="M26" s="134">
        <v>1.0</v>
      </c>
      <c r="N26" s="134">
        <v>1.0</v>
      </c>
      <c r="O26" s="134">
        <v>0.0</v>
      </c>
      <c r="P26" s="134">
        <v>0.0</v>
      </c>
      <c r="Q26" s="135">
        <v>0.0</v>
      </c>
      <c r="R26" s="134">
        <v>0.0</v>
      </c>
      <c r="S26" s="136"/>
      <c r="T26" s="141"/>
      <c r="U26" s="137"/>
    </row>
    <row r="27">
      <c r="A27" s="9" t="s">
        <v>22</v>
      </c>
      <c r="B27" s="10">
        <v>45736.0</v>
      </c>
      <c r="C27" s="134">
        <v>1.0</v>
      </c>
      <c r="D27" s="134">
        <v>1.0</v>
      </c>
      <c r="E27" s="134">
        <v>1.0</v>
      </c>
      <c r="F27" s="134">
        <v>1.0</v>
      </c>
      <c r="G27" s="134">
        <v>1.0</v>
      </c>
      <c r="H27" s="134">
        <v>1.0</v>
      </c>
      <c r="I27" s="134">
        <v>1.0</v>
      </c>
      <c r="J27" s="134">
        <v>1.0</v>
      </c>
      <c r="K27" s="134">
        <v>0.0</v>
      </c>
      <c r="L27" s="134">
        <v>1.0</v>
      </c>
      <c r="M27" s="134">
        <v>1.0</v>
      </c>
      <c r="N27" s="134">
        <v>1.0</v>
      </c>
      <c r="O27" s="134">
        <v>0.0</v>
      </c>
      <c r="P27" s="134">
        <v>1.0</v>
      </c>
      <c r="Q27" s="135">
        <v>0.0</v>
      </c>
      <c r="R27" s="134">
        <v>0.0</v>
      </c>
      <c r="S27" s="136"/>
      <c r="T27" s="141"/>
      <c r="U27" s="137"/>
    </row>
    <row r="28">
      <c r="A28" s="29" t="s">
        <v>23</v>
      </c>
      <c r="B28" s="30">
        <v>45737.0</v>
      </c>
      <c r="C28" s="142">
        <v>0.0</v>
      </c>
      <c r="D28" s="142">
        <v>1.0</v>
      </c>
      <c r="E28" s="142">
        <v>1.0</v>
      </c>
      <c r="F28" s="142">
        <v>1.0</v>
      </c>
      <c r="G28" s="142">
        <v>0.0</v>
      </c>
      <c r="H28" s="142">
        <v>1.0</v>
      </c>
      <c r="I28" s="142">
        <v>0.0</v>
      </c>
      <c r="J28" s="142">
        <v>1.0</v>
      </c>
      <c r="K28" s="142">
        <v>1.0</v>
      </c>
      <c r="L28" s="142">
        <v>1.0</v>
      </c>
      <c r="M28" s="142">
        <v>1.0</v>
      </c>
      <c r="N28" s="142">
        <v>0.0</v>
      </c>
      <c r="O28" s="142">
        <v>0.0</v>
      </c>
      <c r="P28" s="142">
        <v>0.0</v>
      </c>
      <c r="Q28" s="143">
        <v>1.0</v>
      </c>
      <c r="R28" s="142">
        <v>0.0</v>
      </c>
      <c r="S28" s="145"/>
      <c r="T28" s="146"/>
      <c r="U28" s="144"/>
    </row>
    <row r="29">
      <c r="A29" s="9" t="s">
        <v>11</v>
      </c>
      <c r="B29" s="10">
        <v>45738.0</v>
      </c>
      <c r="C29" s="134">
        <v>1.0</v>
      </c>
      <c r="D29" s="134">
        <v>1.0</v>
      </c>
      <c r="E29" s="134">
        <v>0.0</v>
      </c>
      <c r="F29" s="134">
        <v>1.0</v>
      </c>
      <c r="G29" s="134">
        <v>0.0</v>
      </c>
      <c r="H29" s="134">
        <v>1.0</v>
      </c>
      <c r="I29" s="134">
        <v>1.0</v>
      </c>
      <c r="J29" s="134">
        <v>1.0</v>
      </c>
      <c r="K29" s="134">
        <v>1.0</v>
      </c>
      <c r="L29" s="134">
        <v>1.0</v>
      </c>
      <c r="M29" s="134">
        <v>1.0</v>
      </c>
      <c r="N29" s="134">
        <v>1.0</v>
      </c>
      <c r="O29" s="134">
        <v>1.0</v>
      </c>
      <c r="P29" s="134">
        <v>1.0</v>
      </c>
      <c r="Q29" s="135">
        <v>1.0</v>
      </c>
      <c r="R29" s="134">
        <v>0.0</v>
      </c>
      <c r="S29" s="135">
        <v>1.0</v>
      </c>
      <c r="T29" s="141"/>
      <c r="U29" s="137"/>
    </row>
    <row r="30">
      <c r="A30" s="9" t="s">
        <v>12</v>
      </c>
      <c r="B30" s="10">
        <v>45739.0</v>
      </c>
      <c r="C30" s="134">
        <v>0.0</v>
      </c>
      <c r="D30" s="134">
        <v>1.0</v>
      </c>
      <c r="E30" s="134">
        <v>1.0</v>
      </c>
      <c r="F30" s="134">
        <v>1.0</v>
      </c>
      <c r="G30" s="134">
        <v>0.0</v>
      </c>
      <c r="H30" s="134">
        <v>1.0</v>
      </c>
      <c r="I30" s="134">
        <v>0.0</v>
      </c>
      <c r="J30" s="134">
        <v>1.0</v>
      </c>
      <c r="K30" s="134">
        <v>1.0</v>
      </c>
      <c r="L30" s="134">
        <v>1.0</v>
      </c>
      <c r="M30" s="134">
        <v>1.0</v>
      </c>
      <c r="N30" s="134">
        <v>1.0</v>
      </c>
      <c r="O30" s="134">
        <v>1.0</v>
      </c>
      <c r="P30" s="134">
        <v>0.0</v>
      </c>
      <c r="Q30" s="135">
        <v>0.0</v>
      </c>
      <c r="R30" s="134">
        <v>0.0</v>
      </c>
      <c r="S30" s="135">
        <v>1.0</v>
      </c>
      <c r="T30" s="141"/>
      <c r="U30" s="137"/>
    </row>
    <row r="31">
      <c r="A31" s="9" t="s">
        <v>17</v>
      </c>
      <c r="B31" s="10">
        <v>45740.0</v>
      </c>
      <c r="C31" s="138">
        <v>1.0</v>
      </c>
      <c r="D31" s="138">
        <v>1.0</v>
      </c>
      <c r="E31" s="138">
        <v>0.0</v>
      </c>
      <c r="F31" s="138">
        <v>1.0</v>
      </c>
      <c r="G31" s="138">
        <v>1.0</v>
      </c>
      <c r="H31" s="138">
        <v>1.0</v>
      </c>
      <c r="I31" s="138">
        <v>1.0</v>
      </c>
      <c r="J31" s="138">
        <v>1.0</v>
      </c>
      <c r="K31" s="138">
        <v>1.0</v>
      </c>
      <c r="L31" s="138">
        <v>1.0</v>
      </c>
      <c r="M31" s="138">
        <v>1.0</v>
      </c>
      <c r="N31" s="138">
        <v>1.0</v>
      </c>
      <c r="O31" s="138">
        <v>0.0</v>
      </c>
      <c r="P31" s="138">
        <v>1.0</v>
      </c>
      <c r="Q31" s="139">
        <v>1.0</v>
      </c>
      <c r="R31" s="138">
        <v>0.0</v>
      </c>
      <c r="S31" s="139">
        <v>1.0</v>
      </c>
      <c r="T31" s="149"/>
      <c r="U31" s="147"/>
    </row>
    <row r="32">
      <c r="A32" s="9" t="s">
        <v>18</v>
      </c>
      <c r="B32" s="10">
        <v>45741.0</v>
      </c>
      <c r="C32" s="148">
        <v>1.0</v>
      </c>
      <c r="D32" s="148">
        <v>0.0</v>
      </c>
      <c r="E32" s="148">
        <v>1.0</v>
      </c>
      <c r="F32" s="148">
        <v>1.0</v>
      </c>
      <c r="G32" s="148">
        <v>1.0</v>
      </c>
      <c r="H32" s="148">
        <v>0.0</v>
      </c>
      <c r="I32" s="148">
        <v>0.0</v>
      </c>
      <c r="J32" s="148">
        <v>1.0</v>
      </c>
      <c r="K32" s="148">
        <v>1.0</v>
      </c>
      <c r="L32" s="148">
        <v>1.0</v>
      </c>
      <c r="M32" s="148">
        <v>1.0</v>
      </c>
      <c r="N32" s="134">
        <v>1.0</v>
      </c>
      <c r="O32" s="148">
        <v>0.0</v>
      </c>
      <c r="P32" s="148">
        <v>0.0</v>
      </c>
      <c r="Q32" s="150">
        <v>1.0</v>
      </c>
      <c r="R32" s="148">
        <v>0.0</v>
      </c>
      <c r="S32" s="150">
        <v>1.0</v>
      </c>
      <c r="T32" s="141"/>
      <c r="U32" s="137"/>
    </row>
    <row r="33">
      <c r="A33" s="9" t="s">
        <v>19</v>
      </c>
      <c r="B33" s="10">
        <v>45742.0</v>
      </c>
      <c r="C33" s="134">
        <v>1.0</v>
      </c>
      <c r="D33" s="134">
        <v>1.0</v>
      </c>
      <c r="E33" s="134">
        <v>1.0</v>
      </c>
      <c r="F33" s="134">
        <v>1.0</v>
      </c>
      <c r="G33" s="134">
        <v>1.0</v>
      </c>
      <c r="H33" s="134">
        <v>1.0</v>
      </c>
      <c r="I33" s="134">
        <v>0.0</v>
      </c>
      <c r="J33" s="134">
        <v>1.0</v>
      </c>
      <c r="K33" s="134">
        <v>1.0</v>
      </c>
      <c r="L33" s="134">
        <v>1.0</v>
      </c>
      <c r="M33" s="134">
        <v>2.0</v>
      </c>
      <c r="N33" s="134">
        <v>1.0</v>
      </c>
      <c r="O33" s="134">
        <v>0.0</v>
      </c>
      <c r="P33" s="134">
        <v>1.0</v>
      </c>
      <c r="Q33" s="135">
        <v>1.0</v>
      </c>
      <c r="R33" s="134">
        <v>0.0</v>
      </c>
      <c r="S33" s="135">
        <v>1.0</v>
      </c>
      <c r="T33" s="149"/>
      <c r="U33" s="137"/>
    </row>
    <row r="34">
      <c r="A34" s="9" t="s">
        <v>22</v>
      </c>
      <c r="B34" s="10">
        <v>45743.0</v>
      </c>
      <c r="C34" s="134">
        <v>1.0</v>
      </c>
      <c r="D34" s="134">
        <v>1.0</v>
      </c>
      <c r="E34" s="134">
        <v>1.0</v>
      </c>
      <c r="F34" s="134">
        <v>0.0</v>
      </c>
      <c r="G34" s="134">
        <v>2.0</v>
      </c>
      <c r="H34" s="134">
        <v>1.0</v>
      </c>
      <c r="I34" s="134">
        <v>0.0</v>
      </c>
      <c r="J34" s="134">
        <v>0.5</v>
      </c>
      <c r="K34" s="134">
        <v>1.0</v>
      </c>
      <c r="L34" s="134">
        <v>1.0</v>
      </c>
      <c r="M34" s="134">
        <v>1.0</v>
      </c>
      <c r="N34" s="134">
        <v>1.0</v>
      </c>
      <c r="O34" s="134">
        <v>1.0</v>
      </c>
      <c r="P34" s="134">
        <v>0.0</v>
      </c>
      <c r="Q34" s="135">
        <v>1.0</v>
      </c>
      <c r="R34" s="134">
        <v>0.0</v>
      </c>
      <c r="S34" s="135">
        <v>0.0</v>
      </c>
      <c r="T34" s="149"/>
      <c r="U34" s="134" t="s">
        <v>350</v>
      </c>
    </row>
    <row r="35">
      <c r="A35" s="151" t="s">
        <v>23</v>
      </c>
      <c r="B35" s="152">
        <v>45744.0</v>
      </c>
      <c r="C35" s="153">
        <v>0.0</v>
      </c>
      <c r="D35" s="153">
        <v>1.0</v>
      </c>
      <c r="E35" s="153">
        <v>1.0</v>
      </c>
      <c r="F35" s="153">
        <v>0.0</v>
      </c>
      <c r="G35" s="153">
        <v>4.0</v>
      </c>
      <c r="H35" s="153">
        <v>1.0</v>
      </c>
      <c r="I35" s="153">
        <v>1.0</v>
      </c>
      <c r="J35" s="153">
        <v>0.0</v>
      </c>
      <c r="K35" s="153">
        <v>1.0</v>
      </c>
      <c r="L35" s="153">
        <v>1.0</v>
      </c>
      <c r="M35" s="153">
        <v>1.0</v>
      </c>
      <c r="N35" s="153">
        <v>0.0</v>
      </c>
      <c r="O35" s="153">
        <v>0.0</v>
      </c>
      <c r="P35" s="153">
        <v>1.0</v>
      </c>
      <c r="Q35" s="154">
        <v>1.0</v>
      </c>
      <c r="R35" s="153">
        <v>0.0</v>
      </c>
      <c r="S35" s="154">
        <v>0.0</v>
      </c>
      <c r="T35" s="155"/>
      <c r="U35" s="134" t="s">
        <v>351</v>
      </c>
    </row>
    <row r="36">
      <c r="A36" s="9" t="s">
        <v>11</v>
      </c>
      <c r="B36" s="10">
        <v>45745.0</v>
      </c>
      <c r="C36" s="156">
        <v>1.0</v>
      </c>
      <c r="D36" s="157">
        <v>1.0</v>
      </c>
      <c r="E36" s="157">
        <v>1.0</v>
      </c>
      <c r="F36" s="157">
        <v>0.0</v>
      </c>
      <c r="G36" s="157">
        <v>0.0</v>
      </c>
      <c r="H36" s="157">
        <v>1.0</v>
      </c>
      <c r="I36" s="157">
        <v>0.0</v>
      </c>
      <c r="J36" s="157">
        <v>0.0</v>
      </c>
      <c r="K36" s="157">
        <v>0.0</v>
      </c>
      <c r="L36" s="157">
        <v>1.0</v>
      </c>
      <c r="M36" s="157">
        <v>1.0</v>
      </c>
      <c r="N36" s="157">
        <v>1.0</v>
      </c>
      <c r="O36" s="157">
        <v>0.0</v>
      </c>
      <c r="P36" s="157">
        <v>1.0</v>
      </c>
      <c r="Q36" s="158">
        <v>0.0</v>
      </c>
      <c r="R36" s="157">
        <v>0.0</v>
      </c>
      <c r="S36" s="158">
        <v>0.0</v>
      </c>
      <c r="T36" s="159"/>
      <c r="U36" s="160"/>
    </row>
    <row r="37">
      <c r="A37" s="9" t="s">
        <v>12</v>
      </c>
      <c r="B37" s="10">
        <v>45746.0</v>
      </c>
      <c r="C37" s="161">
        <v>0.0</v>
      </c>
      <c r="D37" s="162">
        <v>1.0</v>
      </c>
      <c r="E37" s="162">
        <v>1.0</v>
      </c>
      <c r="F37" s="162">
        <v>0.0</v>
      </c>
      <c r="G37" s="162">
        <v>0.0</v>
      </c>
      <c r="H37" s="162">
        <v>1.0</v>
      </c>
      <c r="I37" s="162">
        <v>1.0</v>
      </c>
      <c r="J37" s="162">
        <v>0.0</v>
      </c>
      <c r="K37" s="162">
        <v>0.0</v>
      </c>
      <c r="L37" s="162">
        <v>0.0</v>
      </c>
      <c r="M37" s="162">
        <v>0.0</v>
      </c>
      <c r="N37" s="157">
        <v>1.0</v>
      </c>
      <c r="O37" s="162">
        <v>0.0</v>
      </c>
      <c r="P37" s="162">
        <v>0.0</v>
      </c>
      <c r="Q37" s="162">
        <v>0.0</v>
      </c>
      <c r="R37" s="163"/>
      <c r="S37" s="164"/>
      <c r="T37" s="165"/>
      <c r="U37" s="166"/>
    </row>
    <row r="38">
      <c r="A38" s="9" t="s">
        <v>17</v>
      </c>
      <c r="B38" s="10">
        <v>45747.0</v>
      </c>
      <c r="C38" s="167">
        <v>0.0</v>
      </c>
      <c r="D38" s="168">
        <v>0.0</v>
      </c>
      <c r="E38" s="168">
        <v>0.0</v>
      </c>
      <c r="F38" s="168">
        <v>0.0</v>
      </c>
      <c r="G38" s="168">
        <v>0.0</v>
      </c>
      <c r="H38" s="168">
        <v>0.0</v>
      </c>
      <c r="I38" s="168">
        <v>0.0</v>
      </c>
      <c r="J38" s="168">
        <v>0.0</v>
      </c>
      <c r="K38" s="168">
        <v>0.0</v>
      </c>
      <c r="L38" s="168">
        <v>1.0</v>
      </c>
      <c r="M38" s="168">
        <v>0.0</v>
      </c>
      <c r="N38" s="169">
        <v>0.0</v>
      </c>
      <c r="O38" s="168">
        <v>0.0</v>
      </c>
      <c r="P38" s="168">
        <v>0.0</v>
      </c>
      <c r="Q38" s="168">
        <v>0.0</v>
      </c>
      <c r="R38" s="168">
        <v>0.0</v>
      </c>
      <c r="S38" s="170">
        <v>0.0</v>
      </c>
      <c r="T38" s="171">
        <v>0.0</v>
      </c>
      <c r="U38" s="166"/>
    </row>
    <row r="39">
      <c r="A39" s="16"/>
      <c r="B39" s="172" t="s">
        <v>352</v>
      </c>
      <c r="C39" s="173"/>
      <c r="D39" s="162">
        <v>3.0</v>
      </c>
      <c r="E39" s="157">
        <v>1.0</v>
      </c>
      <c r="F39" s="157">
        <v>0.0</v>
      </c>
      <c r="G39" s="157">
        <v>0.0</v>
      </c>
      <c r="H39" s="157">
        <v>0.0</v>
      </c>
      <c r="I39" s="160"/>
      <c r="J39" s="162">
        <v>2.0</v>
      </c>
      <c r="K39" s="157">
        <v>0.0</v>
      </c>
      <c r="L39" s="162">
        <v>6.0</v>
      </c>
      <c r="M39" s="162">
        <v>4.5</v>
      </c>
      <c r="N39" s="157">
        <v>0.0</v>
      </c>
      <c r="O39" s="158">
        <v>1.0</v>
      </c>
      <c r="P39" s="174">
        <v>3.0</v>
      </c>
      <c r="Q39" s="166"/>
      <c r="R39" s="166"/>
      <c r="S39" s="175"/>
      <c r="T39" s="176"/>
      <c r="U39" s="166"/>
    </row>
    <row r="40">
      <c r="A40" s="6"/>
      <c r="B40" s="66"/>
      <c r="C40" s="177">
        <f t="shared" ref="C40:T40" si="1">SUM(C8:C39)</f>
        <v>24</v>
      </c>
      <c r="D40" s="178">
        <f t="shared" si="1"/>
        <v>31</v>
      </c>
      <c r="E40" s="178">
        <f t="shared" si="1"/>
        <v>26.75</v>
      </c>
      <c r="F40" s="178">
        <f t="shared" si="1"/>
        <v>16</v>
      </c>
      <c r="G40" s="178">
        <f t="shared" si="1"/>
        <v>20</v>
      </c>
      <c r="H40" s="178">
        <f t="shared" si="1"/>
        <v>25</v>
      </c>
      <c r="I40" s="178">
        <f t="shared" si="1"/>
        <v>14</v>
      </c>
      <c r="J40" s="178">
        <f t="shared" si="1"/>
        <v>26.5</v>
      </c>
      <c r="K40" s="178">
        <f t="shared" si="1"/>
        <v>10</v>
      </c>
      <c r="L40" s="160">
        <f t="shared" si="1"/>
        <v>32</v>
      </c>
      <c r="M40" s="179">
        <f t="shared" si="1"/>
        <v>33.5</v>
      </c>
      <c r="N40" s="180">
        <f t="shared" si="1"/>
        <v>26</v>
      </c>
      <c r="O40" s="180">
        <f t="shared" si="1"/>
        <v>7</v>
      </c>
      <c r="P40" s="180">
        <f t="shared" si="1"/>
        <v>12</v>
      </c>
      <c r="Q40" s="180">
        <f t="shared" si="1"/>
        <v>8</v>
      </c>
      <c r="R40" s="180">
        <f t="shared" si="1"/>
        <v>7.4</v>
      </c>
      <c r="S40" s="175">
        <f t="shared" si="1"/>
        <v>5</v>
      </c>
      <c r="T40" s="180">
        <f t="shared" si="1"/>
        <v>0</v>
      </c>
      <c r="U40" s="166"/>
    </row>
    <row r="41">
      <c r="A41" s="6"/>
      <c r="B41" s="66"/>
      <c r="C41" s="181">
        <v>1290.0</v>
      </c>
      <c r="D41" s="183">
        <v>1111.0</v>
      </c>
      <c r="E41" s="183">
        <v>1111.0</v>
      </c>
      <c r="F41" s="183">
        <v>1111.0</v>
      </c>
      <c r="G41" s="183">
        <v>1111.0</v>
      </c>
      <c r="H41" s="185">
        <v>1111.0</v>
      </c>
      <c r="I41" s="185">
        <v>1111.0</v>
      </c>
      <c r="J41" s="185">
        <v>1296.29</v>
      </c>
      <c r="K41" s="184">
        <v>1200.0</v>
      </c>
      <c r="L41" s="186">
        <v>1300.0</v>
      </c>
      <c r="M41" s="187">
        <v>1300.0</v>
      </c>
      <c r="N41" s="187">
        <v>1111.0</v>
      </c>
      <c r="O41" s="187">
        <v>1000.0</v>
      </c>
      <c r="P41" s="187">
        <v>1200.0</v>
      </c>
      <c r="Q41" s="188">
        <v>1200.0</v>
      </c>
      <c r="R41" s="187">
        <v>1000.0</v>
      </c>
      <c r="S41" s="189">
        <v>1000.0</v>
      </c>
      <c r="T41" s="188">
        <v>1000.0</v>
      </c>
      <c r="U41" s="190"/>
    </row>
    <row r="42">
      <c r="C42" s="191">
        <f t="shared" ref="C42:T42" si="2">C40*C41</f>
        <v>30960</v>
      </c>
      <c r="D42" s="192">
        <f t="shared" si="2"/>
        <v>34441</v>
      </c>
      <c r="E42" s="192">
        <f t="shared" si="2"/>
        <v>29719.25</v>
      </c>
      <c r="F42" s="192">
        <f t="shared" si="2"/>
        <v>17776</v>
      </c>
      <c r="G42" s="192">
        <f t="shared" si="2"/>
        <v>22220</v>
      </c>
      <c r="H42" s="193">
        <f t="shared" si="2"/>
        <v>27775</v>
      </c>
      <c r="I42" s="193">
        <f t="shared" si="2"/>
        <v>15554</v>
      </c>
      <c r="J42" s="193">
        <f t="shared" si="2"/>
        <v>34351.685</v>
      </c>
      <c r="K42" s="193">
        <f t="shared" si="2"/>
        <v>12000</v>
      </c>
      <c r="L42" s="194">
        <f t="shared" si="2"/>
        <v>41600</v>
      </c>
      <c r="M42" s="188">
        <f t="shared" si="2"/>
        <v>43550</v>
      </c>
      <c r="N42" s="195">
        <f t="shared" si="2"/>
        <v>28886</v>
      </c>
      <c r="O42" s="195">
        <f t="shared" si="2"/>
        <v>7000</v>
      </c>
      <c r="P42" s="195">
        <f t="shared" si="2"/>
        <v>14400</v>
      </c>
      <c r="Q42" s="195">
        <f t="shared" si="2"/>
        <v>9600</v>
      </c>
      <c r="R42" s="195">
        <f t="shared" si="2"/>
        <v>7400</v>
      </c>
      <c r="S42" s="196">
        <f t="shared" si="2"/>
        <v>5000</v>
      </c>
      <c r="T42" s="195">
        <f t="shared" si="2"/>
        <v>0</v>
      </c>
      <c r="U42" s="197"/>
    </row>
    <row r="43">
      <c r="C43" s="198"/>
      <c r="D43" s="198"/>
      <c r="E43" s="198"/>
      <c r="F43" s="198"/>
      <c r="G43" s="198"/>
      <c r="H43" s="198"/>
      <c r="I43" s="198"/>
      <c r="J43" s="198"/>
      <c r="K43" s="199"/>
      <c r="L43" s="199"/>
      <c r="M43" s="199"/>
      <c r="N43" s="166"/>
      <c r="O43" s="166"/>
      <c r="P43" s="166"/>
      <c r="Q43" s="166"/>
      <c r="R43" s="166"/>
      <c r="S43" s="175"/>
      <c r="T43" s="166"/>
      <c r="U43" s="190"/>
    </row>
    <row r="44">
      <c r="C44" s="16"/>
      <c r="D44" s="16"/>
      <c r="E44" s="16"/>
      <c r="F44" s="16"/>
      <c r="G44" s="16"/>
      <c r="H44" s="16"/>
      <c r="I44" s="16"/>
      <c r="J44" s="16"/>
      <c r="K44" s="16"/>
      <c r="L44" s="16"/>
      <c r="M44" s="16"/>
      <c r="N44" s="16"/>
      <c r="O44" s="16"/>
      <c r="P44" s="16"/>
      <c r="Q44" s="16"/>
      <c r="R44" s="16"/>
      <c r="S44" s="200"/>
      <c r="T44" s="16"/>
      <c r="U44" s="16"/>
    </row>
    <row r="45">
      <c r="C45" s="16"/>
      <c r="D45" s="240">
        <v>35800.0</v>
      </c>
      <c r="E45" s="240">
        <v>30896.0</v>
      </c>
      <c r="F45" s="240">
        <v>18480.0</v>
      </c>
      <c r="G45" s="240">
        <v>23100.0</v>
      </c>
      <c r="H45" s="240">
        <v>28875.0</v>
      </c>
      <c r="I45" s="240">
        <v>16170.0</v>
      </c>
      <c r="J45" s="241"/>
      <c r="K45" s="241"/>
      <c r="L45" s="241"/>
      <c r="M45" s="241"/>
      <c r="N45" s="240">
        <v>30000.0</v>
      </c>
      <c r="O45" s="241"/>
      <c r="P45" s="241"/>
      <c r="Q45" s="241"/>
      <c r="R45" s="241"/>
      <c r="S45" s="242"/>
      <c r="T45" s="241"/>
      <c r="U45" s="16"/>
    </row>
    <row r="46">
      <c r="C46" s="16"/>
      <c r="D46" s="16"/>
      <c r="E46" s="16"/>
      <c r="F46" s="16"/>
      <c r="G46" s="16"/>
      <c r="H46" s="16"/>
      <c r="I46" s="16"/>
      <c r="J46" s="16"/>
      <c r="K46" s="16"/>
      <c r="L46" s="16"/>
      <c r="M46" s="16"/>
      <c r="N46" s="16"/>
      <c r="O46" s="16"/>
      <c r="P46" s="16"/>
      <c r="Q46" s="16"/>
      <c r="R46" s="16"/>
      <c r="S46" s="16"/>
      <c r="T46" s="16"/>
      <c r="U46" s="16"/>
    </row>
    <row r="48">
      <c r="D48" s="243">
        <f t="shared" ref="D48:I48" si="3">D45-D42</f>
        <v>1359</v>
      </c>
      <c r="E48" s="243">
        <f t="shared" si="3"/>
        <v>1176.75</v>
      </c>
      <c r="F48" s="243">
        <f t="shared" si="3"/>
        <v>704</v>
      </c>
      <c r="G48" s="243">
        <f t="shared" si="3"/>
        <v>880</v>
      </c>
      <c r="H48" s="243">
        <f t="shared" si="3"/>
        <v>1100</v>
      </c>
      <c r="I48" s="243">
        <f t="shared" si="3"/>
        <v>616</v>
      </c>
      <c r="J48" s="243"/>
      <c r="K48" s="243"/>
      <c r="L48" s="243"/>
      <c r="M48" s="243"/>
      <c r="N48" s="243">
        <f>N45-N42</f>
        <v>1114</v>
      </c>
      <c r="O48" s="243">
        <f>SUM(D48:N48)</f>
        <v>6949.75</v>
      </c>
    </row>
    <row r="49">
      <c r="D49" s="243"/>
      <c r="E49" s="243"/>
      <c r="F49" s="243"/>
      <c r="G49" s="243"/>
      <c r="H49" s="243"/>
      <c r="I49" s="243"/>
      <c r="J49" s="243"/>
      <c r="K49" s="243"/>
      <c r="L49" s="243"/>
      <c r="M49" s="243"/>
      <c r="N49" s="243"/>
      <c r="O49" s="243"/>
    </row>
  </sheetData>
  <drawing r:id="rId1"/>
  <tableParts count="1">
    <tablePart r:id="rId3"/>
  </tableParts>
</worksheet>
</file>