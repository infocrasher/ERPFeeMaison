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3"/>
    <sheet state="visible" name="Charge" sheetId="2" r:id="rId4"/>
    <sheet state="visible" name="Salaire" sheetId="3" r:id="rId5"/>
    <sheet state="visible" name="Profit Net" sheetId="4" r:id="rId6"/>
    <sheet state="visible" name="Pointage" sheetId="5" r:id="rId7"/>
  </sheets>
  <definedNames/>
  <calcPr/>
</workbook>
</file>

<file path=xl/sharedStrings.xml><?xml version="1.0" encoding="utf-8"?>
<sst xmlns="http://schemas.openxmlformats.org/spreadsheetml/2006/main" count="128" uniqueCount="61">
  <si>
    <t>Date</t>
  </si>
  <si>
    <t>Recette</t>
  </si>
  <si>
    <t>Charge</t>
  </si>
  <si>
    <t>Salaire</t>
  </si>
  <si>
    <t>Loyer</t>
  </si>
  <si>
    <t>Net Profit</t>
  </si>
  <si>
    <t>Lundi</t>
  </si>
  <si>
    <t>Mardi</t>
  </si>
  <si>
    <t>Mercredi</t>
  </si>
  <si>
    <t xml:space="preserve">Jeudi </t>
  </si>
  <si>
    <t>Vendredi</t>
  </si>
  <si>
    <t>Samedi</t>
  </si>
  <si>
    <t>Dimanche</t>
  </si>
  <si>
    <t>TOTAL</t>
  </si>
  <si>
    <t>Départ</t>
  </si>
  <si>
    <t>Produit</t>
  </si>
  <si>
    <t>Quantité</t>
  </si>
  <si>
    <t>Prix</t>
  </si>
  <si>
    <t>Date d'achat</t>
  </si>
  <si>
    <t>Huile</t>
  </si>
  <si>
    <t>3 Bidons de 10 litres</t>
  </si>
  <si>
    <t>Ognion</t>
  </si>
  <si>
    <t>100 Kg</t>
  </si>
  <si>
    <t>Tomate Fraiche</t>
  </si>
  <si>
    <t>64 Kg</t>
  </si>
  <si>
    <t>Sel</t>
  </si>
  <si>
    <t>Papier aluminuim</t>
  </si>
  <si>
    <t>100m</t>
  </si>
  <si>
    <t>les petits sachets en papier</t>
  </si>
  <si>
    <t xml:space="preserve">détergent </t>
  </si>
  <si>
    <t>/</t>
  </si>
  <si>
    <t xml:space="preserve">Boissons </t>
  </si>
  <si>
    <t>2+2</t>
  </si>
  <si>
    <t xml:space="preserve">sel et huile </t>
  </si>
  <si>
    <t>30 litres + 20kg</t>
  </si>
  <si>
    <t>bessel yabess</t>
  </si>
  <si>
    <t>50kg</t>
  </si>
  <si>
    <t>bessel vert</t>
  </si>
  <si>
    <t>25kg</t>
  </si>
  <si>
    <t>7abet 7elawa</t>
  </si>
  <si>
    <t>1kg</t>
  </si>
  <si>
    <t>felefel Driss</t>
  </si>
  <si>
    <t>500g</t>
  </si>
  <si>
    <t>huile</t>
  </si>
  <si>
    <t>21 bidons de 5 litres</t>
  </si>
  <si>
    <t>sucre</t>
  </si>
  <si>
    <t>1 sachet de 25kg</t>
  </si>
  <si>
    <t>Zehor</t>
  </si>
  <si>
    <t>Loubna</t>
  </si>
  <si>
    <t>Souad</t>
  </si>
  <si>
    <t xml:space="preserve">Imene </t>
  </si>
  <si>
    <t>Meriem</t>
  </si>
  <si>
    <r>
      <rPr>
        <b/>
      </rPr>
      <t>Profit Net 100000 Da</t>
    </r>
    <r>
      <rPr/>
      <t xml:space="preserve"> </t>
    </r>
  </si>
  <si>
    <t>Plombierie</t>
  </si>
  <si>
    <t>Peinture</t>
  </si>
  <si>
    <t>Feronier</t>
  </si>
  <si>
    <t>électricité</t>
  </si>
  <si>
    <t xml:space="preserve">Meriem </t>
  </si>
  <si>
    <t>Salair/jour</t>
  </si>
  <si>
    <t>SALAIR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</si>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</sst>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6">
    <font>
      <sz val="10.0"/>
      <color rgb="FF000000"/>
      <name val="Arial"/>
    </font>
    <font>
      <b/>
    </font>
    <font/>
    <font>
      <b/>
      <color rgb="FFFF0000"/>
    </font>
    <font>
      <color rgb="FFFF00FF"/>
    </font>
    <font>
      <b/>
      <color rgb="FFFF00FF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00D900"/>
        <bgColor rgb="FF00D9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3" fontId="3" numFmtId="164" xfId="0" applyAlignment="1" applyBorder="1" applyFill="1" applyFont="1" applyNumberFormat="1">
      <alignment readingOrder="0"/>
    </xf>
    <xf borderId="1" fillId="0" fontId="2" numFmtId="165" xfId="0" applyBorder="1" applyFont="1" applyNumberFormat="1"/>
    <xf borderId="1" fillId="0" fontId="3" numFmtId="0" xfId="0" applyAlignment="1" applyBorder="1" applyFont="1">
      <alignment horizontal="center" readingOrder="0"/>
    </xf>
    <xf borderId="1" fillId="4" fontId="2" numFmtId="165" xfId="0" applyBorder="1" applyFill="1" applyFont="1" applyNumberFormat="1"/>
    <xf borderId="2" fillId="5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1" fillId="6" fontId="1" numFmtId="0" xfId="0" applyAlignment="1" applyBorder="1" applyFill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7" fontId="2" numFmtId="165" xfId="0" applyAlignment="1" applyBorder="1" applyFont="1" applyNumberFormat="1">
      <alignment horizontal="center"/>
    </xf>
    <xf borderId="1" fillId="8" fontId="1" numFmtId="0" xfId="0" applyAlignment="1" applyBorder="1" applyFill="1" applyFont="1">
      <alignment horizontal="center" readingOrder="0"/>
    </xf>
    <xf borderId="1" fillId="5" fontId="2" numFmtId="165" xfId="0" applyBorder="1" applyFont="1" applyNumberFormat="1"/>
    <xf borderId="2" fillId="3" fontId="2" numFmtId="0" xfId="0" applyAlignment="1" applyBorder="1" applyFont="1">
      <alignment horizontal="center" readingOrder="0"/>
    </xf>
    <xf borderId="4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9" fontId="1" numFmtId="0" xfId="0" applyAlignment="1" applyBorder="1" applyFill="1" applyFont="1">
      <alignment horizontal="center" readingOrder="0"/>
    </xf>
    <xf borderId="1" fillId="9" fontId="2" numFmtId="165" xfId="0" applyBorder="1" applyFont="1" applyNumberFormat="1"/>
    <xf borderId="1" fillId="5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9" fontId="5" numFmtId="0" xfId="0" applyAlignment="1" applyBorder="1" applyFont="1">
      <alignment horizontal="center" readingOrder="0"/>
    </xf>
    <xf borderId="1" fillId="9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2" t="s">
        <v>6</v>
      </c>
      <c r="B2" s="3">
        <v>43556.0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</row>
    <row r="3">
      <c r="A3" s="2" t="s">
        <v>7</v>
      </c>
      <c r="B3" s="3">
        <v>43557.0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</row>
    <row r="4">
      <c r="A4" s="2" t="s">
        <v>8</v>
      </c>
      <c r="B4" s="3">
        <v>43558.0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</row>
    <row r="5">
      <c r="A5" s="2" t="s">
        <v>9</v>
      </c>
      <c r="B5" s="3">
        <v>43559.0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</row>
    <row r="6">
      <c r="A6" s="5" t="s">
        <v>10</v>
      </c>
      <c r="B6" s="6">
        <v>43560.0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</row>
    <row r="7">
      <c r="A7" s="2" t="s">
        <v>11</v>
      </c>
      <c r="B7" s="3">
        <v>43561.0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</row>
    <row r="8">
      <c r="A8" s="2" t="s">
        <v>12</v>
      </c>
      <c r="B8" s="3">
        <v>43562.0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</row>
    <row r="9">
      <c r="A9" s="2" t="s">
        <v>6</v>
      </c>
      <c r="B9" s="3">
        <v>43563.0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</row>
    <row r="10">
      <c r="A10" s="2" t="s">
        <v>7</v>
      </c>
      <c r="B10" s="3">
        <v>43564.0</v>
      </c>
      <c r="C10" s="4">
        <v>5500.0</v>
      </c>
      <c r="D10" s="4">
        <v>0.0</v>
      </c>
      <c r="E10" s="4">
        <v>0.0</v>
      </c>
      <c r="F10" s="4">
        <v>0.0</v>
      </c>
      <c r="G10" s="4">
        <v>0.0</v>
      </c>
    </row>
    <row r="11">
      <c r="A11" s="2" t="s">
        <v>8</v>
      </c>
      <c r="B11" s="3">
        <v>43565.0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</row>
    <row r="12">
      <c r="A12" s="2" t="s">
        <v>9</v>
      </c>
      <c r="B12" s="3">
        <v>43566.0</v>
      </c>
      <c r="C12" s="4">
        <v>3000.0</v>
      </c>
      <c r="D12" s="4">
        <v>0.0</v>
      </c>
      <c r="E12" s="4">
        <v>0.0</v>
      </c>
      <c r="F12" s="4">
        <v>0.0</v>
      </c>
      <c r="G12" s="4">
        <v>0.0</v>
      </c>
    </row>
    <row r="13">
      <c r="A13" s="5" t="s">
        <v>10</v>
      </c>
      <c r="B13" s="6">
        <v>43567.0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</row>
    <row r="14">
      <c r="A14" s="2" t="s">
        <v>11</v>
      </c>
      <c r="B14" s="3">
        <v>43568.0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</row>
    <row r="15">
      <c r="A15" s="2" t="s">
        <v>12</v>
      </c>
      <c r="B15" s="3">
        <v>43569.0</v>
      </c>
      <c r="C15" s="4">
        <v>13000.0</v>
      </c>
      <c r="D15" s="4">
        <v>0.0</v>
      </c>
      <c r="E15" s="4">
        <v>0.0</v>
      </c>
      <c r="F15" s="4">
        <v>0.0</v>
      </c>
      <c r="G15" s="4">
        <v>0.0</v>
      </c>
    </row>
    <row r="16">
      <c r="A16" s="2" t="s">
        <v>6</v>
      </c>
      <c r="B16" s="3">
        <v>43570.0</v>
      </c>
      <c r="C16" s="4">
        <v>13000.0</v>
      </c>
      <c r="D16" s="4">
        <v>0.0</v>
      </c>
      <c r="E16" s="4">
        <v>0.0</v>
      </c>
      <c r="F16" s="4">
        <v>0.0</v>
      </c>
      <c r="G16" s="4">
        <v>0.0</v>
      </c>
    </row>
    <row r="17">
      <c r="A17" s="2" t="s">
        <v>7</v>
      </c>
      <c r="B17" s="3">
        <v>43571.0</v>
      </c>
      <c r="C17" s="4">
        <v>10000.0</v>
      </c>
      <c r="D17" s="4">
        <v>0.0</v>
      </c>
      <c r="E17" s="4">
        <v>0.0</v>
      </c>
      <c r="F17" s="4">
        <v>0.0</v>
      </c>
      <c r="G17" s="4">
        <v>0.0</v>
      </c>
    </row>
    <row r="18">
      <c r="A18" s="2" t="s">
        <v>8</v>
      </c>
      <c r="B18" s="3">
        <v>43572.0</v>
      </c>
      <c r="C18" s="4">
        <v>11500.0</v>
      </c>
      <c r="D18" s="4">
        <v>0.0</v>
      </c>
      <c r="E18" s="4">
        <v>0.0</v>
      </c>
      <c r="F18" s="4">
        <v>0.0</v>
      </c>
      <c r="G18" s="4">
        <v>0.0</v>
      </c>
    </row>
    <row r="19">
      <c r="A19" s="2" t="s">
        <v>9</v>
      </c>
      <c r="B19" s="3">
        <v>43573.0</v>
      </c>
      <c r="C19" s="4">
        <v>21800.0</v>
      </c>
      <c r="D19" s="4">
        <v>0.0</v>
      </c>
      <c r="E19" s="4">
        <v>0.0</v>
      </c>
      <c r="F19" s="4">
        <v>0.0</v>
      </c>
      <c r="G19" s="4">
        <v>0.0</v>
      </c>
    </row>
    <row r="20">
      <c r="A20" s="5" t="s">
        <v>10</v>
      </c>
      <c r="B20" s="6">
        <v>43574.0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</row>
    <row r="21">
      <c r="A21" s="2" t="s">
        <v>11</v>
      </c>
      <c r="B21" s="3">
        <v>43575.0</v>
      </c>
      <c r="C21" s="4">
        <v>10000.0</v>
      </c>
      <c r="D21" s="7"/>
      <c r="E21" s="7"/>
      <c r="F21" s="7"/>
      <c r="G21" s="7"/>
    </row>
    <row r="22">
      <c r="A22" s="2" t="s">
        <v>12</v>
      </c>
      <c r="B22" s="3">
        <v>43576.0</v>
      </c>
      <c r="C22" s="4">
        <v>14000.0</v>
      </c>
      <c r="D22" s="7"/>
      <c r="E22" s="7"/>
      <c r="F22" s="7"/>
      <c r="G22" s="7"/>
    </row>
    <row r="23">
      <c r="A23" s="2" t="s">
        <v>6</v>
      </c>
      <c r="B23" s="3">
        <v>43577.0</v>
      </c>
      <c r="C23" s="4">
        <v>15000.0</v>
      </c>
      <c r="D23" s="7"/>
      <c r="E23" s="7"/>
      <c r="F23" s="7"/>
      <c r="G23" s="7"/>
    </row>
    <row r="24">
      <c r="A24" s="2" t="s">
        <v>7</v>
      </c>
      <c r="B24" s="3">
        <v>43578.0</v>
      </c>
      <c r="C24" s="4">
        <v>17500.0</v>
      </c>
      <c r="D24" s="7"/>
      <c r="E24" s="7"/>
      <c r="F24" s="7"/>
      <c r="G24" s="7"/>
    </row>
    <row r="25">
      <c r="A25" s="2" t="s">
        <v>8</v>
      </c>
      <c r="B25" s="3">
        <v>43579.0</v>
      </c>
      <c r="C25" s="4">
        <v>13000.0</v>
      </c>
      <c r="D25" s="7"/>
      <c r="E25" s="7"/>
      <c r="F25" s="7"/>
      <c r="G25" s="7"/>
    </row>
    <row r="26">
      <c r="A26" s="2" t="s">
        <v>9</v>
      </c>
      <c r="B26" s="3">
        <v>43580.0</v>
      </c>
      <c r="C26" s="4">
        <v>17000.0</v>
      </c>
      <c r="D26" s="7"/>
      <c r="E26" s="7"/>
      <c r="F26" s="7"/>
      <c r="G26" s="7"/>
    </row>
    <row r="27">
      <c r="A27" s="5" t="s">
        <v>10</v>
      </c>
      <c r="B27" s="6">
        <v>43581.0</v>
      </c>
      <c r="C27" s="4">
        <v>0.0</v>
      </c>
      <c r="D27" s="7"/>
      <c r="E27" s="7"/>
      <c r="F27" s="7"/>
      <c r="G27" s="7"/>
    </row>
    <row r="28">
      <c r="A28" s="2" t="s">
        <v>11</v>
      </c>
      <c r="B28" s="3">
        <v>43582.0</v>
      </c>
      <c r="C28" s="4">
        <v>12000.0</v>
      </c>
      <c r="D28" s="7"/>
      <c r="E28" s="7"/>
      <c r="F28" s="7"/>
      <c r="G28" s="7"/>
    </row>
    <row r="29">
      <c r="A29" s="2" t="s">
        <v>12</v>
      </c>
      <c r="B29" s="3">
        <v>43583.0</v>
      </c>
      <c r="C29" s="4">
        <v>16000.0</v>
      </c>
      <c r="D29" s="7"/>
      <c r="E29" s="7"/>
      <c r="F29" s="7"/>
      <c r="G29" s="7"/>
    </row>
    <row r="30">
      <c r="A30" s="2" t="s">
        <v>6</v>
      </c>
      <c r="B30" s="3">
        <v>43584.0</v>
      </c>
      <c r="C30" s="7"/>
      <c r="D30" s="7"/>
      <c r="E30" s="7"/>
      <c r="F30" s="7"/>
      <c r="G30" s="7"/>
    </row>
    <row r="31">
      <c r="A31" s="2" t="s">
        <v>7</v>
      </c>
      <c r="B31" s="3">
        <v>43585.0</v>
      </c>
      <c r="C31" s="7"/>
      <c r="D31" s="7"/>
      <c r="E31" s="7"/>
      <c r="F31" s="7"/>
      <c r="G31" s="7"/>
    </row>
    <row r="32">
      <c r="B32" s="8" t="s">
        <v>13</v>
      </c>
      <c r="C32" s="9">
        <f t="shared" ref="C32:G32" si="1">SUM(C2:C31)</f>
        <v>192300</v>
      </c>
      <c r="D32" s="7">
        <f t="shared" si="1"/>
        <v>0</v>
      </c>
      <c r="E32" s="7">
        <f t="shared" si="1"/>
        <v>0</v>
      </c>
      <c r="F32" s="7">
        <f t="shared" si="1"/>
        <v>0</v>
      </c>
      <c r="G32" s="7">
        <f t="shared" si="1"/>
        <v>0</v>
      </c>
    </row>
    <row r="37">
      <c r="B37" s="10" t="s">
        <v>14</v>
      </c>
      <c r="C37" s="11"/>
    </row>
    <row r="38">
      <c r="B38" s="12" t="s">
        <v>2</v>
      </c>
      <c r="C38" s="13">
        <v>50000.0</v>
      </c>
    </row>
    <row r="39">
      <c r="B39" s="12" t="s">
        <v>3</v>
      </c>
      <c r="C39" s="13">
        <v>0.0</v>
      </c>
    </row>
    <row r="40">
      <c r="B40" s="12" t="s">
        <v>4</v>
      </c>
      <c r="C40" s="13">
        <v>0.0</v>
      </c>
    </row>
    <row r="41">
      <c r="B41" s="12" t="s">
        <v>5</v>
      </c>
      <c r="C41" s="13">
        <v>100000.0</v>
      </c>
    </row>
  </sheetData>
  <mergeCells count="1">
    <mergeCell ref="B37:C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17.38"/>
  </cols>
  <sheetData>
    <row r="2">
      <c r="B2" s="14" t="s">
        <v>15</v>
      </c>
      <c r="C2" s="14" t="s">
        <v>16</v>
      </c>
      <c r="D2" s="14" t="s">
        <v>17</v>
      </c>
      <c r="E2" s="14" t="s">
        <v>18</v>
      </c>
    </row>
    <row r="3">
      <c r="B3" s="15" t="s">
        <v>19</v>
      </c>
      <c r="C3" s="16" t="s">
        <v>20</v>
      </c>
      <c r="D3" s="13">
        <v>3165.0</v>
      </c>
      <c r="E3" s="17">
        <v>43556.0</v>
      </c>
    </row>
    <row r="4">
      <c r="B4" s="15" t="s">
        <v>21</v>
      </c>
      <c r="C4" s="16" t="s">
        <v>22</v>
      </c>
      <c r="D4" s="13">
        <v>6500.0</v>
      </c>
      <c r="E4" s="17">
        <v>43556.0</v>
      </c>
    </row>
    <row r="5">
      <c r="B5" s="15" t="s">
        <v>23</v>
      </c>
      <c r="C5" s="16" t="s">
        <v>24</v>
      </c>
      <c r="D5" s="13">
        <v>5120.0</v>
      </c>
      <c r="E5" s="17">
        <v>43556.0</v>
      </c>
    </row>
    <row r="6">
      <c r="B6" s="15" t="s">
        <v>25</v>
      </c>
      <c r="C6" s="18"/>
      <c r="D6" s="19"/>
      <c r="E6" s="18"/>
    </row>
    <row r="7">
      <c r="B7" s="15" t="s">
        <v>26</v>
      </c>
      <c r="C7" s="16" t="s">
        <v>27</v>
      </c>
      <c r="D7" s="13">
        <v>780.0</v>
      </c>
      <c r="E7" s="17">
        <v>43573.0</v>
      </c>
    </row>
    <row r="8">
      <c r="B8" s="15" t="s">
        <v>28</v>
      </c>
      <c r="C8" s="18"/>
      <c r="D8" s="13">
        <v>1500.0</v>
      </c>
      <c r="E8" s="17">
        <v>43575.0</v>
      </c>
    </row>
    <row r="9">
      <c r="B9" s="15" t="s">
        <v>29</v>
      </c>
      <c r="C9" s="16" t="s">
        <v>30</v>
      </c>
      <c r="D9" s="13">
        <v>700.0</v>
      </c>
      <c r="E9" s="17">
        <v>43568.0</v>
      </c>
    </row>
    <row r="10">
      <c r="B10" s="15" t="s">
        <v>31</v>
      </c>
      <c r="C10" s="16" t="s">
        <v>32</v>
      </c>
      <c r="D10" s="13">
        <v>1450.0</v>
      </c>
      <c r="E10" s="17">
        <v>43573.0</v>
      </c>
    </row>
    <row r="11">
      <c r="B11" s="15" t="s">
        <v>33</v>
      </c>
      <c r="C11" s="16" t="s">
        <v>34</v>
      </c>
      <c r="D11" s="13">
        <v>3830.0</v>
      </c>
      <c r="E11" s="17">
        <v>43575.0</v>
      </c>
    </row>
    <row r="12">
      <c r="B12" s="15" t="s">
        <v>35</v>
      </c>
      <c r="C12" s="16" t="s">
        <v>36</v>
      </c>
      <c r="D12" s="13">
        <v>3500.0</v>
      </c>
      <c r="E12" s="17">
        <v>43580.0</v>
      </c>
    </row>
    <row r="13">
      <c r="B13" s="15" t="s">
        <v>37</v>
      </c>
      <c r="C13" s="16" t="s">
        <v>38</v>
      </c>
      <c r="D13" s="13">
        <v>1000.0</v>
      </c>
      <c r="E13" s="17">
        <v>43580.0</v>
      </c>
    </row>
    <row r="14">
      <c r="B14" s="15" t="s">
        <v>39</v>
      </c>
      <c r="C14" s="16" t="s">
        <v>40</v>
      </c>
      <c r="D14" s="13">
        <v>700.0</v>
      </c>
      <c r="E14" s="17">
        <v>43580.0</v>
      </c>
    </row>
    <row r="15">
      <c r="B15" s="15" t="s">
        <v>41</v>
      </c>
      <c r="C15" s="16" t="s">
        <v>42</v>
      </c>
      <c r="D15" s="13">
        <v>500.0</v>
      </c>
      <c r="E15" s="17">
        <v>43580.0</v>
      </c>
    </row>
    <row r="16">
      <c r="B16" s="15" t="s">
        <v>43</v>
      </c>
      <c r="C16" s="16" t="s">
        <v>44</v>
      </c>
      <c r="D16" s="13">
        <v>11865.0</v>
      </c>
      <c r="E16" s="17">
        <v>43580.0</v>
      </c>
    </row>
    <row r="17">
      <c r="B17" s="15" t="s">
        <v>45</v>
      </c>
      <c r="C17" s="16" t="s">
        <v>46</v>
      </c>
      <c r="D17" s="13">
        <v>1750.0</v>
      </c>
      <c r="E17" s="17">
        <v>43580.0</v>
      </c>
    </row>
    <row r="18">
      <c r="B18" s="20"/>
      <c r="C18" s="18"/>
      <c r="D18" s="19"/>
      <c r="E18" s="18"/>
    </row>
    <row r="19">
      <c r="B19" s="20"/>
      <c r="C19" s="18"/>
      <c r="D19" s="19"/>
      <c r="E19" s="18"/>
    </row>
    <row r="20">
      <c r="B20" s="20"/>
      <c r="C20" s="18"/>
      <c r="D20" s="19"/>
      <c r="E20" s="18"/>
    </row>
    <row r="21">
      <c r="B21" s="20"/>
      <c r="C21" s="18"/>
      <c r="D21" s="19"/>
      <c r="E21" s="18"/>
    </row>
    <row r="22">
      <c r="B22" s="20"/>
      <c r="C22" s="18"/>
      <c r="D22" s="19"/>
      <c r="E22" s="18"/>
    </row>
    <row r="23">
      <c r="B23" s="20"/>
      <c r="C23" s="18"/>
      <c r="D23" s="19"/>
      <c r="E23" s="18"/>
    </row>
    <row r="24">
      <c r="B24" s="20"/>
      <c r="C24" s="18"/>
      <c r="D24" s="19"/>
      <c r="E24" s="18"/>
    </row>
    <row r="25">
      <c r="B25" s="20"/>
      <c r="C25" s="18"/>
      <c r="D25" s="19"/>
      <c r="E25" s="18"/>
    </row>
    <row r="26">
      <c r="B26" s="20"/>
      <c r="C26" s="18"/>
      <c r="D26" s="19"/>
      <c r="E26" s="18"/>
    </row>
    <row r="27">
      <c r="B27" s="20"/>
      <c r="C27" s="18"/>
      <c r="D27" s="19"/>
      <c r="E27" s="18"/>
    </row>
    <row r="28">
      <c r="B28" s="20"/>
      <c r="C28" s="18"/>
      <c r="D28" s="19"/>
      <c r="E28" s="18"/>
    </row>
    <row r="29">
      <c r="B29" s="20"/>
      <c r="C29" s="18"/>
      <c r="D29" s="19"/>
      <c r="E29" s="18"/>
    </row>
    <row r="30">
      <c r="B30" s="20"/>
      <c r="C30" s="18"/>
      <c r="D30" s="19"/>
      <c r="E30" s="18"/>
    </row>
    <row r="31">
      <c r="B31" s="20"/>
      <c r="C31" s="18"/>
      <c r="D31" s="19"/>
      <c r="E31" s="18"/>
    </row>
    <row r="32">
      <c r="B32" s="20"/>
      <c r="C32" s="18"/>
      <c r="D32" s="19"/>
      <c r="E32" s="18"/>
    </row>
    <row r="33">
      <c r="B33" s="21" t="s">
        <v>13</v>
      </c>
      <c r="C33" s="18"/>
      <c r="D33" s="22">
        <f>SUM(D3:D32)</f>
        <v>42360</v>
      </c>
      <c r="E33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3" t="s">
        <v>3</v>
      </c>
      <c r="D2" s="23" t="s">
        <v>0</v>
      </c>
    </row>
    <row r="3">
      <c r="B3" s="16" t="s">
        <v>47</v>
      </c>
      <c r="C3" s="13">
        <v>32000.0</v>
      </c>
      <c r="D3" s="17">
        <v>43568.0</v>
      </c>
    </row>
    <row r="4">
      <c r="B4" s="16" t="s">
        <v>48</v>
      </c>
      <c r="C4" s="13">
        <v>10000.0</v>
      </c>
      <c r="D4" s="17">
        <v>43569.0</v>
      </c>
    </row>
    <row r="5">
      <c r="B5" s="16" t="s">
        <v>49</v>
      </c>
      <c r="C5" s="13">
        <v>18000.0</v>
      </c>
      <c r="D5" s="17">
        <v>43569.0</v>
      </c>
    </row>
    <row r="6">
      <c r="B6" s="16" t="s">
        <v>50</v>
      </c>
      <c r="C6" s="13">
        <v>2500.0</v>
      </c>
      <c r="D6" s="17">
        <v>43552.0</v>
      </c>
    </row>
    <row r="7">
      <c r="B7" s="16" t="s">
        <v>51</v>
      </c>
      <c r="C7" s="13">
        <v>8000.0</v>
      </c>
      <c r="D7" s="17">
        <v>43576.0</v>
      </c>
    </row>
    <row r="8">
      <c r="B8" s="14" t="s">
        <v>13</v>
      </c>
      <c r="C8" s="24">
        <f>SUM(C3:C7)</f>
        <v>70500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D4" s="25" t="s">
        <v>52</v>
      </c>
      <c r="E4" s="26"/>
      <c r="F4" s="11"/>
    </row>
    <row r="5">
      <c r="D5" s="27" t="s">
        <v>53</v>
      </c>
      <c r="E5" s="7"/>
      <c r="F5" s="3">
        <v>43558.0</v>
      </c>
    </row>
    <row r="6">
      <c r="D6" s="27" t="s">
        <v>54</v>
      </c>
      <c r="E6" s="7"/>
      <c r="F6" s="3">
        <v>43559.0</v>
      </c>
    </row>
    <row r="7">
      <c r="D7" s="27" t="s">
        <v>55</v>
      </c>
      <c r="E7" s="7"/>
      <c r="F7" s="3">
        <v>43563.0</v>
      </c>
    </row>
    <row r="8">
      <c r="D8" s="27" t="s">
        <v>56</v>
      </c>
      <c r="E8" s="7"/>
      <c r="F8" s="28"/>
    </row>
    <row r="9">
      <c r="D9" s="28"/>
      <c r="E9" s="7"/>
      <c r="F9" s="28"/>
    </row>
    <row r="10">
      <c r="D10" s="28"/>
      <c r="E10" s="7"/>
      <c r="F10" s="28"/>
    </row>
    <row r="11">
      <c r="D11" s="28"/>
      <c r="E11" s="7"/>
      <c r="F11" s="28"/>
    </row>
    <row r="12">
      <c r="D12" s="28"/>
      <c r="E12" s="7"/>
      <c r="F12" s="28"/>
    </row>
    <row r="13">
      <c r="D13" s="28"/>
      <c r="E13" s="7"/>
      <c r="F13" s="28"/>
    </row>
    <row r="14">
      <c r="D14" s="29" t="s">
        <v>13</v>
      </c>
      <c r="E14" s="30">
        <f>SUM(E5:E13)</f>
        <v>0</v>
      </c>
      <c r="F14" s="28"/>
    </row>
  </sheetData>
  <mergeCells count="1">
    <mergeCell ref="D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</cols>
  <sheetData>
    <row r="2">
      <c r="B2" s="14" t="s">
        <v>0</v>
      </c>
      <c r="C2" s="14" t="s">
        <v>47</v>
      </c>
      <c r="D2" s="14" t="s">
        <v>48</v>
      </c>
      <c r="E2" s="14" t="s">
        <v>49</v>
      </c>
      <c r="F2" s="31" t="s">
        <v>57</v>
      </c>
    </row>
    <row r="3">
      <c r="A3" s="2" t="s">
        <v>6</v>
      </c>
      <c r="B3" s="3">
        <v>43556.0</v>
      </c>
      <c r="C3" s="27">
        <v>0.0</v>
      </c>
      <c r="D3" s="27">
        <v>0.0</v>
      </c>
      <c r="E3" s="27">
        <v>0.0</v>
      </c>
      <c r="F3" s="27">
        <v>0.0</v>
      </c>
    </row>
    <row r="4">
      <c r="A4" s="2" t="s">
        <v>7</v>
      </c>
      <c r="B4" s="3">
        <v>43557.0</v>
      </c>
      <c r="C4" s="27">
        <v>0.0</v>
      </c>
      <c r="D4" s="27">
        <v>0.0</v>
      </c>
      <c r="E4" s="27">
        <v>0.0</v>
      </c>
      <c r="F4" s="27">
        <v>0.0</v>
      </c>
    </row>
    <row r="5">
      <c r="A5" s="2" t="s">
        <v>8</v>
      </c>
      <c r="B5" s="3">
        <v>43558.0</v>
      </c>
      <c r="C5" s="27">
        <v>0.0</v>
      </c>
      <c r="D5" s="27">
        <v>0.0</v>
      </c>
      <c r="E5" s="27">
        <v>0.0</v>
      </c>
      <c r="F5" s="27">
        <v>0.0</v>
      </c>
    </row>
    <row r="6">
      <c r="A6" s="2" t="s">
        <v>9</v>
      </c>
      <c r="B6" s="3">
        <v>43559.0</v>
      </c>
      <c r="C6" s="27">
        <v>0.0</v>
      </c>
      <c r="D6" s="27">
        <v>0.0</v>
      </c>
      <c r="E6" s="27">
        <v>0.0</v>
      </c>
      <c r="F6" s="27">
        <v>0.0</v>
      </c>
    </row>
    <row r="7">
      <c r="A7" s="5" t="s">
        <v>10</v>
      </c>
      <c r="B7" s="6">
        <v>43560.0</v>
      </c>
      <c r="C7" s="27">
        <v>0.0</v>
      </c>
      <c r="D7" s="27">
        <v>0.0</v>
      </c>
      <c r="E7" s="27">
        <v>0.0</v>
      </c>
      <c r="F7" s="27">
        <v>0.0</v>
      </c>
    </row>
    <row r="8">
      <c r="A8" s="2" t="s">
        <v>11</v>
      </c>
      <c r="B8" s="3">
        <v>43561.0</v>
      </c>
      <c r="C8" s="27">
        <v>0.0</v>
      </c>
      <c r="D8" s="27">
        <v>0.0</v>
      </c>
      <c r="E8" s="27">
        <v>0.0</v>
      </c>
      <c r="F8" s="27">
        <v>0.0</v>
      </c>
    </row>
    <row r="9">
      <c r="A9" s="2" t="s">
        <v>12</v>
      </c>
      <c r="B9" s="3">
        <v>43562.0</v>
      </c>
      <c r="C9" s="27">
        <v>0.0</v>
      </c>
      <c r="D9" s="27">
        <v>0.0</v>
      </c>
      <c r="E9" s="27">
        <v>0.0</v>
      </c>
      <c r="F9" s="27">
        <v>0.0</v>
      </c>
    </row>
    <row r="10">
      <c r="A10" s="2" t="s">
        <v>6</v>
      </c>
      <c r="B10" s="3">
        <v>43563.0</v>
      </c>
      <c r="C10" s="27">
        <v>0.0</v>
      </c>
      <c r="D10" s="27">
        <v>0.0</v>
      </c>
      <c r="E10" s="27">
        <v>0.0</v>
      </c>
      <c r="F10" s="27">
        <v>0.0</v>
      </c>
    </row>
    <row r="11">
      <c r="A11" s="2" t="s">
        <v>7</v>
      </c>
      <c r="B11" s="3">
        <v>43564.0</v>
      </c>
      <c r="C11" s="27">
        <v>0.0</v>
      </c>
      <c r="D11" s="27">
        <v>0.0</v>
      </c>
      <c r="E11" s="27">
        <v>0.0</v>
      </c>
      <c r="F11" s="27">
        <v>0.0</v>
      </c>
    </row>
    <row r="12">
      <c r="A12" s="2" t="s">
        <v>8</v>
      </c>
      <c r="B12" s="3">
        <v>43565.0</v>
      </c>
      <c r="C12" s="27">
        <v>0.0</v>
      </c>
      <c r="D12" s="27">
        <v>0.0</v>
      </c>
      <c r="E12" s="27">
        <v>0.0</v>
      </c>
      <c r="F12" s="27">
        <v>0.0</v>
      </c>
    </row>
    <row r="13">
      <c r="A13" s="2" t="s">
        <v>9</v>
      </c>
      <c r="B13" s="3">
        <v>43566.0</v>
      </c>
      <c r="C13" s="27">
        <v>0.0</v>
      </c>
      <c r="D13" s="27">
        <v>0.0</v>
      </c>
      <c r="E13" s="27">
        <v>0.0</v>
      </c>
      <c r="F13" s="27">
        <v>0.0</v>
      </c>
    </row>
    <row r="14">
      <c r="A14" s="5" t="s">
        <v>10</v>
      </c>
      <c r="B14" s="6">
        <v>43567.0</v>
      </c>
      <c r="C14" s="27">
        <v>0.0</v>
      </c>
      <c r="D14" s="27">
        <v>0.0</v>
      </c>
      <c r="E14" s="27">
        <v>0.0</v>
      </c>
      <c r="F14" s="27">
        <v>0.0</v>
      </c>
    </row>
    <row r="15">
      <c r="A15" s="2" t="s">
        <v>11</v>
      </c>
      <c r="B15" s="3">
        <v>43568.0</v>
      </c>
      <c r="C15" s="27">
        <v>1.0</v>
      </c>
      <c r="D15" s="27">
        <v>0.0</v>
      </c>
      <c r="E15" s="27">
        <v>0.0</v>
      </c>
      <c r="F15" s="27">
        <v>0.0</v>
      </c>
    </row>
    <row r="16">
      <c r="A16" s="2" t="s">
        <v>12</v>
      </c>
      <c r="B16" s="3">
        <v>43569.0</v>
      </c>
      <c r="C16" s="27">
        <v>1.0</v>
      </c>
      <c r="D16" s="27">
        <v>1.0</v>
      </c>
      <c r="E16" s="27">
        <v>1.0</v>
      </c>
      <c r="F16" s="27">
        <v>0.0</v>
      </c>
    </row>
    <row r="17">
      <c r="A17" s="2" t="s">
        <v>6</v>
      </c>
      <c r="B17" s="3">
        <v>43570.0</v>
      </c>
      <c r="C17" s="32">
        <v>1.0</v>
      </c>
      <c r="D17" s="27">
        <v>1.0</v>
      </c>
      <c r="E17" s="27">
        <v>1.0</v>
      </c>
      <c r="F17" s="27">
        <v>0.0</v>
      </c>
    </row>
    <row r="18">
      <c r="A18" s="2" t="s">
        <v>7</v>
      </c>
      <c r="B18" s="3">
        <v>43571.0</v>
      </c>
      <c r="C18" s="27">
        <v>1.0</v>
      </c>
      <c r="D18" s="27">
        <v>0.0</v>
      </c>
      <c r="E18" s="27">
        <v>1.0</v>
      </c>
      <c r="F18" s="27">
        <v>0.0</v>
      </c>
    </row>
    <row r="19">
      <c r="A19" s="2" t="s">
        <v>8</v>
      </c>
      <c r="B19" s="3">
        <v>43572.0</v>
      </c>
      <c r="C19" s="27">
        <v>1.0</v>
      </c>
      <c r="D19" s="27">
        <v>1.0</v>
      </c>
      <c r="E19" s="27">
        <v>1.0</v>
      </c>
      <c r="F19" s="27">
        <v>0.0</v>
      </c>
    </row>
    <row r="20">
      <c r="A20" s="2" t="s">
        <v>9</v>
      </c>
      <c r="B20" s="3">
        <v>43573.0</v>
      </c>
      <c r="C20" s="27">
        <v>1.0</v>
      </c>
      <c r="D20" s="27">
        <v>0.0</v>
      </c>
      <c r="E20" s="27">
        <v>1.0</v>
      </c>
      <c r="F20" s="27">
        <v>0.0</v>
      </c>
    </row>
    <row r="21">
      <c r="A21" s="5" t="s">
        <v>10</v>
      </c>
      <c r="B21" s="6">
        <v>43574.0</v>
      </c>
      <c r="C21" s="27">
        <v>0.0</v>
      </c>
      <c r="D21" s="27">
        <v>0.0</v>
      </c>
      <c r="E21" s="27">
        <v>0.0</v>
      </c>
      <c r="F21" s="27">
        <v>0.0</v>
      </c>
    </row>
    <row r="22">
      <c r="A22" s="2" t="s">
        <v>11</v>
      </c>
      <c r="B22" s="3">
        <v>43575.0</v>
      </c>
      <c r="C22" s="27">
        <v>1.0</v>
      </c>
      <c r="D22" s="27">
        <v>1.0</v>
      </c>
      <c r="E22" s="32">
        <v>1.0</v>
      </c>
      <c r="F22" s="27">
        <v>0.0</v>
      </c>
    </row>
    <row r="23">
      <c r="A23" s="2" t="s">
        <v>12</v>
      </c>
      <c r="B23" s="3">
        <v>43576.0</v>
      </c>
      <c r="C23" s="27">
        <v>1.0</v>
      </c>
      <c r="D23" s="27">
        <v>0.0</v>
      </c>
      <c r="E23" s="27">
        <v>1.0</v>
      </c>
      <c r="F23" s="27">
        <v>1.0</v>
      </c>
    </row>
    <row r="24">
      <c r="A24" s="2" t="s">
        <v>6</v>
      </c>
      <c r="B24" s="3">
        <v>43577.0</v>
      </c>
      <c r="C24" s="27">
        <v>1.0</v>
      </c>
      <c r="D24" s="27">
        <v>1.0</v>
      </c>
      <c r="E24" s="27">
        <v>1.0</v>
      </c>
      <c r="F24" s="27">
        <v>1.0</v>
      </c>
    </row>
    <row r="25">
      <c r="A25" s="2" t="s">
        <v>7</v>
      </c>
      <c r="B25" s="3">
        <v>43578.0</v>
      </c>
      <c r="C25" s="27">
        <v>1.0</v>
      </c>
      <c r="D25" s="27">
        <v>1.0</v>
      </c>
      <c r="E25" s="27">
        <v>1.0</v>
      </c>
      <c r="F25" s="27">
        <v>1.0</v>
      </c>
    </row>
    <row r="26">
      <c r="A26" s="2" t="s">
        <v>8</v>
      </c>
      <c r="B26" s="3">
        <v>43579.0</v>
      </c>
      <c r="C26" s="27">
        <v>1.0</v>
      </c>
      <c r="D26" s="27">
        <v>0.0</v>
      </c>
      <c r="E26" s="27">
        <v>1.0</v>
      </c>
      <c r="F26" s="27">
        <v>1.0</v>
      </c>
    </row>
    <row r="27">
      <c r="A27" s="2" t="s">
        <v>9</v>
      </c>
      <c r="B27" s="3">
        <v>43580.0</v>
      </c>
      <c r="C27" s="27">
        <v>1.0</v>
      </c>
      <c r="D27" s="27">
        <v>0.0</v>
      </c>
      <c r="E27" s="27">
        <v>1.0</v>
      </c>
      <c r="F27" s="27">
        <v>1.0</v>
      </c>
    </row>
    <row r="28">
      <c r="A28" s="5" t="s">
        <v>10</v>
      </c>
      <c r="B28" s="6">
        <v>43581.0</v>
      </c>
      <c r="C28" s="27">
        <v>0.0</v>
      </c>
      <c r="D28" s="27">
        <v>0.0</v>
      </c>
      <c r="E28" s="27">
        <v>0.0</v>
      </c>
      <c r="F28" s="27">
        <v>0.0</v>
      </c>
    </row>
    <row r="29">
      <c r="A29" s="2" t="s">
        <v>11</v>
      </c>
      <c r="B29" s="3">
        <v>43582.0</v>
      </c>
      <c r="C29" s="27">
        <v>1.0</v>
      </c>
      <c r="D29" s="27">
        <v>1.0</v>
      </c>
      <c r="E29" s="32">
        <v>1.0</v>
      </c>
      <c r="F29" s="27">
        <v>0.0</v>
      </c>
    </row>
    <row r="30">
      <c r="A30" s="2" t="s">
        <v>12</v>
      </c>
      <c r="B30" s="3">
        <v>43583.0</v>
      </c>
      <c r="C30" s="27">
        <v>1.0</v>
      </c>
      <c r="D30" s="27">
        <v>1.0</v>
      </c>
      <c r="E30" s="27">
        <v>1.0</v>
      </c>
      <c r="F30" s="27">
        <v>1.0</v>
      </c>
    </row>
    <row r="31">
      <c r="A31" s="2" t="s">
        <v>6</v>
      </c>
      <c r="B31" s="3">
        <v>43584.0</v>
      </c>
      <c r="C31" s="27">
        <v>1.0</v>
      </c>
      <c r="D31" s="27">
        <v>1.0</v>
      </c>
      <c r="E31" s="27">
        <v>1.0</v>
      </c>
      <c r="F31" s="27">
        <v>1.0</v>
      </c>
    </row>
    <row r="32">
      <c r="A32" s="2" t="s">
        <v>7</v>
      </c>
      <c r="B32" s="3">
        <v>43585.0</v>
      </c>
      <c r="C32" s="27">
        <v>1.0</v>
      </c>
      <c r="D32" s="27">
        <v>1.0</v>
      </c>
      <c r="E32" s="27">
        <v>1.0</v>
      </c>
      <c r="F32" s="27">
        <v>1.0</v>
      </c>
    </row>
    <row r="33">
      <c r="B33" s="8" t="s">
        <v>13</v>
      </c>
      <c r="C33" s="28">
        <f t="shared" ref="C33:F33" si="1">SUM(C3:C32)</f>
        <v>16</v>
      </c>
      <c r="D33" s="28">
        <f t="shared" si="1"/>
        <v>10</v>
      </c>
      <c r="E33" s="28">
        <f t="shared" si="1"/>
        <v>15</v>
      </c>
      <c r="F33" s="28">
        <f t="shared" si="1"/>
        <v>8</v>
      </c>
    </row>
    <row r="34">
      <c r="B34" s="16" t="s">
        <v>58</v>
      </c>
      <c r="C34" s="27">
        <v>2000.0</v>
      </c>
      <c r="D34" s="27">
        <v>1000.0</v>
      </c>
      <c r="E34" s="27">
        <v>1200.0</v>
      </c>
      <c r="F34" s="27">
        <v>1000.0</v>
      </c>
    </row>
    <row r="35">
      <c r="B35" s="33" t="s">
        <v>59</v>
      </c>
      <c r="C35" s="34">
        <f t="shared" ref="C35:E35" si="2">C34*C33</f>
        <v>32000</v>
      </c>
      <c r="D35" s="34">
        <f t="shared" si="2"/>
        <v>10000</v>
      </c>
      <c r="E35" s="34">
        <f t="shared" si="2"/>
        <v>18000</v>
      </c>
      <c r="F35" s="34">
        <f>F33*F34</f>
        <v>8000</v>
      </c>
      <c r="G35">
        <f>SUM(C35:F35)</f>
        <v>68000</v>
      </c>
    </row>
    <row r="53">
      <c r="C53" s="35" t="s">
        <v>60</v>
      </c>
    </row>
  </sheetData>
  <drawing r:id="rId1"/>
</worksheet>
</file>