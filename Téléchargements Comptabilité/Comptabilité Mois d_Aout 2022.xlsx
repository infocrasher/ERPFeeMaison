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 " sheetId="2" r:id="rId5"/>
    <sheet state="visible" name="Les charges " sheetId="3" r:id="rId6"/>
    <sheet state="visible" name="Salaires" sheetId="4" r:id="rId7"/>
    <sheet state="visible" name="Feuille 5" sheetId="5" r:id="rId8"/>
    <sheet state="visible" name="Feuille 6" sheetId="6" r:id="rId9"/>
  </sheets>
  <definedNames/>
  <calcPr/>
</workbook>
</file>

<file path=xl/sharedStrings.xml><?xml version="1.0" encoding="utf-8"?>
<sst xmlns="http://schemas.openxmlformats.org/spreadsheetml/2006/main" count="509" uniqueCount="305">
  <si>
    <t>Date</t>
  </si>
  <si>
    <t>Recette de Juillet 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</si>
  <si>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</si>
  <si>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</si>
  <si>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</si>
  <si>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</si>
  <si>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</si>
  <si>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</si>
  <si>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</si>
  <si>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 xml:space="preserve">Juillet </t>
  </si>
  <si>
    <t>Bénéfice Moyen par jour</t>
  </si>
  <si>
    <t xml:space="preserve">Moyenne </t>
  </si>
  <si>
    <t>Lundi</t>
  </si>
  <si>
    <t>Mardi</t>
  </si>
  <si>
    <t>Mercredi</t>
  </si>
  <si>
    <t xml:space="preserve">Moyenne des charges par jour </t>
  </si>
  <si>
    <t xml:space="preserve">Objectif </t>
  </si>
  <si>
    <t>Jeudi</t>
  </si>
  <si>
    <t>Vendredi</t>
  </si>
  <si>
    <t>²</t>
  </si>
  <si>
    <t>Samedi</t>
  </si>
  <si>
    <t>Dimanche</t>
  </si>
  <si>
    <t xml:space="preserve">Cash restant </t>
  </si>
  <si>
    <t>Magasin</t>
  </si>
  <si>
    <t xml:space="preserve">caisse </t>
  </si>
  <si>
    <t>cash en attente pour le récupérer =Dettes éxterieurs</t>
  </si>
  <si>
    <t xml:space="preserve"> </t>
  </si>
  <si>
    <t>loyer</t>
  </si>
  <si>
    <t>pétrin+ four</t>
  </si>
  <si>
    <t>75000+145000</t>
  </si>
  <si>
    <t>Mounir</t>
  </si>
  <si>
    <t>Différence mois de juin</t>
  </si>
  <si>
    <t xml:space="preserve">Différence objectif </t>
  </si>
  <si>
    <t xml:space="preserve">Les vendredis </t>
  </si>
  <si>
    <t>Cash réel</t>
  </si>
  <si>
    <t>rest à payer</t>
  </si>
  <si>
    <t>Mois de Juillet</t>
  </si>
  <si>
    <t xml:space="preserve">La différence </t>
  </si>
  <si>
    <t xml:space="preserve">Nadjet </t>
  </si>
  <si>
    <t xml:space="preserve">Hafida </t>
  </si>
  <si>
    <t>Wahiba</t>
  </si>
  <si>
    <t xml:space="preserve">Zahida </t>
  </si>
  <si>
    <t>djamila</t>
  </si>
  <si>
    <t>Farida</t>
  </si>
  <si>
    <t>Yousera</t>
  </si>
  <si>
    <t>Lynda</t>
  </si>
  <si>
    <t>Fahima</t>
  </si>
  <si>
    <t>Fouzia</t>
  </si>
  <si>
    <t xml:space="preserve">Yasmine </t>
  </si>
  <si>
    <t xml:space="preserve">Soumia </t>
  </si>
  <si>
    <t>Remarque</t>
  </si>
  <si>
    <t>Yousera et soumeya djaw à 09h et youssera ra7et à 16h sans autorisation</t>
  </si>
  <si>
    <t xml:space="preserve">il y'avait pas de gaz donc elles sont sortis tot et on a reporté les commandes </t>
  </si>
  <si>
    <t>les emplotées du local ont sorti à 15h30 puisque il y'avait pas de travail</t>
  </si>
  <si>
    <t>Produit</t>
  </si>
  <si>
    <t>Quantité</t>
  </si>
  <si>
    <t xml:space="preserve">Prix unitaire </t>
  </si>
  <si>
    <t>Prix</t>
  </si>
  <si>
    <t>Date d'achat</t>
  </si>
  <si>
    <t xml:space="preserve">cuisses de poulet </t>
  </si>
  <si>
    <t>Amandes</t>
  </si>
  <si>
    <t>plateaux traditionels</t>
  </si>
  <si>
    <t xml:space="preserve">Boites rondes </t>
  </si>
  <si>
    <t>les barquetts 1185</t>
  </si>
  <si>
    <t>hallal</t>
  </si>
  <si>
    <t>fardeaux de 12</t>
  </si>
  <si>
    <t>Coca canette petites</t>
  </si>
  <si>
    <t>Coca canette grande</t>
  </si>
  <si>
    <t xml:space="preserve">Shweps grenadine </t>
  </si>
  <si>
    <t xml:space="preserve">Rouiba boite </t>
  </si>
  <si>
    <t>Candia choco</t>
  </si>
  <si>
    <t>Fanta fraise et orange et sprit</t>
  </si>
  <si>
    <t>3akeri</t>
  </si>
  <si>
    <t>Chocolat à tartier Boudjedir</t>
  </si>
  <si>
    <t>semoule fine Sa7el 10kg</t>
  </si>
  <si>
    <t>gherss</t>
  </si>
  <si>
    <t xml:space="preserve">eau miniral 1.5 litres </t>
  </si>
  <si>
    <t>eau miniral 0.5 litres</t>
  </si>
  <si>
    <t>sucre cristaliser 25kg</t>
  </si>
  <si>
    <t>noix</t>
  </si>
  <si>
    <t xml:space="preserve">semoule blé complet </t>
  </si>
  <si>
    <t xml:space="preserve">25 kg </t>
  </si>
  <si>
    <t>margarine fleurial 500g barquette</t>
  </si>
  <si>
    <t>margarine fleurial 250g</t>
  </si>
  <si>
    <t>Semen Madina 1,8kg</t>
  </si>
  <si>
    <t>semoule sahel 25kg</t>
  </si>
  <si>
    <t>Semoule Fine Sahel 25kg</t>
  </si>
  <si>
    <t>huile 5 loitrs 36</t>
  </si>
  <si>
    <t>fourchettes</t>
  </si>
  <si>
    <t>Eau de fleur</t>
  </si>
  <si>
    <t>sucre glace Fabbalco</t>
  </si>
  <si>
    <t>Farine</t>
  </si>
  <si>
    <t>décapant</t>
  </si>
  <si>
    <t xml:space="preserve">hamissa  </t>
  </si>
  <si>
    <t>7abet halawa</t>
  </si>
  <si>
    <t xml:space="preserve">Livreur semoule </t>
  </si>
  <si>
    <t>Maiis princesse 850g</t>
  </si>
  <si>
    <t>Fromage speciale pizza</t>
  </si>
  <si>
    <t>cheddar</t>
  </si>
  <si>
    <t>Thon le Gout</t>
  </si>
  <si>
    <t>Fromage Bidon 3.8kg</t>
  </si>
  <si>
    <t>Boites 12 marron</t>
  </si>
  <si>
    <t>Boites 24 Marron</t>
  </si>
  <si>
    <t>Boites 48/7</t>
  </si>
  <si>
    <t>Boites 48/10</t>
  </si>
  <si>
    <t>Boites 18 Marron</t>
  </si>
  <si>
    <t xml:space="preserve">Sachets blanc pyramide </t>
  </si>
  <si>
    <t xml:space="preserve">pomme de terre </t>
  </si>
  <si>
    <t>amndes éfilet</t>
  </si>
  <si>
    <t xml:space="preserve">noisette </t>
  </si>
  <si>
    <t xml:space="preserve">levure chimique Nouara </t>
  </si>
  <si>
    <t>Bidon zittoune</t>
  </si>
  <si>
    <t>Nakach Souad</t>
  </si>
  <si>
    <t>oeufs</t>
  </si>
  <si>
    <t>blanc de poulet</t>
  </si>
  <si>
    <t>pain tacos</t>
  </si>
  <si>
    <t>crème fraiche</t>
  </si>
  <si>
    <t xml:space="preserve">lait en poudre </t>
  </si>
  <si>
    <t>5kg</t>
  </si>
  <si>
    <t>Pilon</t>
  </si>
  <si>
    <t>semoule Mama 2kg</t>
  </si>
  <si>
    <t>bt Pepite chocola</t>
  </si>
  <si>
    <t>Curdents</t>
  </si>
  <si>
    <t>Miel</t>
  </si>
  <si>
    <t>Farine sim</t>
  </si>
  <si>
    <t>Gherss</t>
  </si>
  <si>
    <t>Tomate conserve</t>
  </si>
  <si>
    <t>vinaigre</t>
  </si>
  <si>
    <t>sel</t>
  </si>
  <si>
    <t>cofiture</t>
  </si>
  <si>
    <t>Maiis</t>
  </si>
  <si>
    <t>Maa zehar</t>
  </si>
  <si>
    <t>Sucre glace</t>
  </si>
  <si>
    <t>Choco</t>
  </si>
  <si>
    <t>levure boulangère</t>
  </si>
  <si>
    <t>2 cartons de 20 boites de 500g</t>
  </si>
  <si>
    <t xml:space="preserve">King plateau </t>
  </si>
  <si>
    <t>papier aluminium Afrah</t>
  </si>
  <si>
    <t>Farine Sim 1kg</t>
  </si>
  <si>
    <t>harrissa</t>
  </si>
  <si>
    <t>pates</t>
  </si>
  <si>
    <t>fromage Gouda</t>
  </si>
  <si>
    <t>Riz</t>
  </si>
  <si>
    <t>bessel</t>
  </si>
  <si>
    <t>poulet haché</t>
  </si>
  <si>
    <t>salade</t>
  </si>
  <si>
    <t>poivre + poivron</t>
  </si>
  <si>
    <t>tomate fraiche</t>
  </si>
  <si>
    <t>rechta</t>
  </si>
  <si>
    <t>deyoul</t>
  </si>
  <si>
    <t xml:space="preserve">poulet entier </t>
  </si>
  <si>
    <t xml:space="preserve">haricot vert </t>
  </si>
  <si>
    <t>petits boites polystéres</t>
  </si>
  <si>
    <t>barquettes en aluminium 1065</t>
  </si>
  <si>
    <t>quissettes + dentelle</t>
  </si>
  <si>
    <t xml:space="preserve">pate d'arome eau de fleur d'ornger </t>
  </si>
  <si>
    <t xml:space="preserve">vanille Baraka </t>
  </si>
  <si>
    <t xml:space="preserve">rechta </t>
  </si>
  <si>
    <t>épinard</t>
  </si>
  <si>
    <t>kheyar + poivre + olive</t>
  </si>
  <si>
    <t>lahssen transport</t>
  </si>
  <si>
    <t>isis</t>
  </si>
  <si>
    <t xml:space="preserve">huile 2 litres </t>
  </si>
  <si>
    <t>briquets + chifon</t>
  </si>
  <si>
    <t>barquettes en aluminium 1185</t>
  </si>
  <si>
    <t>poches jetable</t>
  </si>
  <si>
    <t>film transparent</t>
  </si>
  <si>
    <t>plateaux carton</t>
  </si>
  <si>
    <t>viande hachée</t>
  </si>
  <si>
    <t>tomate frfaiche</t>
  </si>
  <si>
    <t>navet</t>
  </si>
  <si>
    <t>courgette</t>
  </si>
  <si>
    <t>carotte</t>
  </si>
  <si>
    <t>poivron</t>
  </si>
  <si>
    <t>épinard+ persil</t>
  </si>
  <si>
    <t>fromage slices djeezy</t>
  </si>
  <si>
    <t>poulet fumée</t>
  </si>
  <si>
    <t xml:space="preserve">plateaux </t>
  </si>
  <si>
    <t>pate à filou</t>
  </si>
  <si>
    <t>pain de Maie</t>
  </si>
  <si>
    <t>les cuisses</t>
  </si>
  <si>
    <t>moul moskotchou</t>
  </si>
  <si>
    <t>terida</t>
  </si>
  <si>
    <t>les épices</t>
  </si>
  <si>
    <t>détergents</t>
  </si>
  <si>
    <t>transport personnel</t>
  </si>
  <si>
    <t>pilons</t>
  </si>
  <si>
    <t>blanc avec os</t>
  </si>
  <si>
    <t xml:space="preserve">Sardine </t>
  </si>
  <si>
    <t>achoir</t>
  </si>
  <si>
    <t xml:space="preserve">cuillières + fourchettes </t>
  </si>
  <si>
    <t>Pain tacos</t>
  </si>
  <si>
    <t>les charges cheraga</t>
  </si>
  <si>
    <t>blanc de poulet et poulet hachée</t>
  </si>
  <si>
    <t xml:space="preserve">olive noir </t>
  </si>
  <si>
    <t>demie cuisse</t>
  </si>
  <si>
    <t>viande morceau</t>
  </si>
  <si>
    <t>07/08/</t>
  </si>
  <si>
    <t xml:space="preserve">poivre  </t>
  </si>
  <si>
    <t>pain</t>
  </si>
  <si>
    <t xml:space="preserve">des achtas </t>
  </si>
  <si>
    <t>calculatrice</t>
  </si>
  <si>
    <t>marqueurs</t>
  </si>
  <si>
    <t>les boites</t>
  </si>
  <si>
    <t xml:space="preserve">barquettes aluminium </t>
  </si>
  <si>
    <t>boite raib</t>
  </si>
  <si>
    <t>carrotte+ courgette</t>
  </si>
  <si>
    <t xml:space="preserve">poivron + navet </t>
  </si>
  <si>
    <t xml:space="preserve">sac en papier </t>
  </si>
  <si>
    <t>plateau</t>
  </si>
  <si>
    <t>courgette + navet + carotte</t>
  </si>
  <si>
    <t xml:space="preserve">épinard </t>
  </si>
  <si>
    <t xml:space="preserve">blanc de poulet + poulet haché </t>
  </si>
  <si>
    <t>blanc avec oss</t>
  </si>
  <si>
    <t>fromage</t>
  </si>
  <si>
    <t>frotoir</t>
  </si>
  <si>
    <t>sac poubelle</t>
  </si>
  <si>
    <t>épinards</t>
  </si>
  <si>
    <t>chargeur</t>
  </si>
  <si>
    <t>bon de livraison</t>
  </si>
  <si>
    <t>tomate</t>
  </si>
  <si>
    <t>zebib</t>
  </si>
  <si>
    <t>confiture sans sucre</t>
  </si>
  <si>
    <t>sucre de datte</t>
  </si>
  <si>
    <t>amande</t>
  </si>
  <si>
    <t>papier cuissant</t>
  </si>
  <si>
    <t>sachets transparents</t>
  </si>
  <si>
    <t>les quissetes</t>
  </si>
  <si>
    <t>semoule Sahel 25kg</t>
  </si>
  <si>
    <t>transport semoule</t>
  </si>
  <si>
    <t xml:space="preserve">carotte + courgette + navet </t>
  </si>
  <si>
    <t>viande</t>
  </si>
  <si>
    <t>lave sol</t>
  </si>
  <si>
    <t>Bali</t>
  </si>
  <si>
    <t xml:space="preserve">blanc </t>
  </si>
  <si>
    <t xml:space="preserve">cuiises entières </t>
  </si>
  <si>
    <t>boites raib</t>
  </si>
  <si>
    <t>kawekaw</t>
  </si>
  <si>
    <t xml:space="preserve">carottr+ courgette+ navet </t>
  </si>
  <si>
    <t>jus ifruit</t>
  </si>
  <si>
    <t>couscous</t>
  </si>
  <si>
    <t xml:space="preserve">poulet haché+ blanc de poulet </t>
  </si>
  <si>
    <t xml:space="preserve">blanc de poulet </t>
  </si>
  <si>
    <t xml:space="preserve">les épices </t>
  </si>
  <si>
    <t xml:space="preserve">poivre noir + rasse elhanoute + épice chakhechoucha </t>
  </si>
  <si>
    <t xml:space="preserve">fromage blanc </t>
  </si>
  <si>
    <t>fromage bidon  2,7kg</t>
  </si>
  <si>
    <t xml:space="preserve">viande </t>
  </si>
  <si>
    <t>Hamisa</t>
  </si>
  <si>
    <t>carotte + pomme de terre</t>
  </si>
  <si>
    <t>poivre</t>
  </si>
  <si>
    <t xml:space="preserve">kheyar   </t>
  </si>
  <si>
    <t>blanc</t>
  </si>
  <si>
    <t>gouda</t>
  </si>
  <si>
    <t>vainigrette</t>
  </si>
  <si>
    <t>tomate conserve</t>
  </si>
  <si>
    <t xml:space="preserve">riz étuver </t>
  </si>
  <si>
    <t>cumin</t>
  </si>
  <si>
    <t>épice poulet</t>
  </si>
  <si>
    <t>vinaigre blanc</t>
  </si>
  <si>
    <t>mélange olive</t>
  </si>
  <si>
    <t>citron</t>
  </si>
  <si>
    <t>thym</t>
  </si>
  <si>
    <t xml:space="preserve">tomate </t>
  </si>
  <si>
    <t xml:space="preserve">tomate conserve </t>
  </si>
  <si>
    <t xml:space="preserve">escalope </t>
  </si>
  <si>
    <t>omo</t>
  </si>
  <si>
    <t xml:space="preserve">poulet </t>
  </si>
  <si>
    <t>viande morceaux</t>
  </si>
  <si>
    <t>poivr + poivron</t>
  </si>
  <si>
    <t>tomate fraivhe</t>
  </si>
  <si>
    <t>courgette+ navet</t>
  </si>
  <si>
    <t>fromage bidon</t>
  </si>
  <si>
    <t>djeldjelane</t>
  </si>
  <si>
    <t>ouvre boite</t>
  </si>
  <si>
    <t>pelle</t>
  </si>
  <si>
    <t>guenaouia</t>
  </si>
  <si>
    <t xml:space="preserve">celerie + coriandre </t>
  </si>
  <si>
    <t xml:space="preserve">salade </t>
  </si>
  <si>
    <t>Ka3ek Nakache</t>
  </si>
  <si>
    <t>épinardz</t>
  </si>
  <si>
    <t xml:space="preserve">fromage Mont d'or </t>
  </si>
  <si>
    <t xml:space="preserve">les ataches </t>
  </si>
  <si>
    <t>maa zehar</t>
  </si>
  <si>
    <t xml:space="preserve">Baghrir </t>
  </si>
  <si>
    <t xml:space="preserve">Les charges de Septembre </t>
  </si>
  <si>
    <t>boites</t>
  </si>
  <si>
    <t xml:space="preserve">Nom </t>
  </si>
  <si>
    <t>Avance</t>
  </si>
  <si>
    <t xml:space="preserve">Salaire à payer </t>
  </si>
  <si>
    <t>Nadjet</t>
  </si>
  <si>
    <t xml:space="preserve">Djamila </t>
  </si>
  <si>
    <t xml:space="preserve">Farida </t>
  </si>
  <si>
    <t>1000+17000</t>
  </si>
  <si>
    <t xml:space="preserve">Yousera </t>
  </si>
  <si>
    <t>4500+7500</t>
  </si>
  <si>
    <t xml:space="preserve">lynda </t>
  </si>
  <si>
    <t xml:space="preserve">Rachida /Fahima </t>
  </si>
  <si>
    <t xml:space="preserve">Fouzia </t>
  </si>
  <si>
    <t>1000+5000</t>
  </si>
  <si>
    <t>TOTAL</t>
  </si>
  <si>
    <t xml:space="preserve">Mois d'Aout </t>
  </si>
  <si>
    <t>Salaires</t>
  </si>
  <si>
    <t xml:space="preserve">Profit Net </t>
  </si>
  <si>
    <t>Mois de Juin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</si>
</sst>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16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4.0"/>
      <color rgb="FFFF0000"/>
      <name val="Arial"/>
    </font>
    <font>
      <b/>
      <sz val="14.0"/>
      <color rgb="FFFFFF00"/>
      <name val="Arial"/>
    </font>
    <font>
      <b/>
      <sz val="14.0"/>
      <color theme="4"/>
      <name val="Arial"/>
    </font>
    <font>
      <sz val="14.0"/>
      <color rgb="FF000000"/>
      <name val="Arial"/>
    </font>
    <font>
      <sz val="14.0"/>
      <color rgb="FF434343"/>
      <name val="Arial"/>
    </font>
    <font>
      <b/>
      <sz val="14.0"/>
      <color rgb="FF000000"/>
      <name val="Arial"/>
    </font>
    <font>
      <sz val="14.0"/>
      <color rgb="FF4285F4"/>
      <name val="Arial"/>
    </font>
    <font>
      <b/>
      <sz val="14.0"/>
      <color rgb="FF1C4587"/>
      <name val="Arial"/>
    </font>
    <font>
      <b/>
      <sz val="18.0"/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readingOrder="0" vertical="bottom"/>
    </xf>
    <xf borderId="0" fillId="6" fontId="2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1" fillId="3" fontId="1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7" fontId="2" numFmtId="0" xfId="0" applyAlignment="1" applyBorder="1" applyFill="1" applyFon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5" fontId="2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readingOrder="0" vertical="bottom"/>
    </xf>
    <xf borderId="0" fillId="3" fontId="1" numFmtId="165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6" fontId="4" numFmtId="165" xfId="0" applyAlignment="1" applyFont="1" applyNumberFormat="1">
      <alignment horizontal="center" vertical="bottom"/>
    </xf>
    <xf borderId="1" fillId="8" fontId="5" numFmtId="0" xfId="0" applyAlignment="1" applyBorder="1" applyFill="1" applyFon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1" fillId="8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8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1" fillId="5" fontId="2" numFmtId="165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3" fontId="7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1" fillId="8" fontId="7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vertical="bottom"/>
    </xf>
    <xf borderId="1" fillId="10" fontId="7" numFmtId="0" xfId="0" applyAlignment="1" applyBorder="1" applyFill="1" applyFont="1">
      <alignment horizontal="center" readingOrder="0" vertical="bottom"/>
    </xf>
    <xf borderId="1" fillId="10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1" fillId="10" fontId="8" numFmtId="0" xfId="0" applyAlignment="1" applyBorder="1" applyFont="1">
      <alignment horizontal="center" readingOrder="0" vertical="bottom"/>
    </xf>
    <xf borderId="1" fillId="8" fontId="8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 vertical="bottom"/>
    </xf>
    <xf borderId="1" fillId="8" fontId="9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5" fontId="10" numFmtId="0" xfId="0" applyAlignment="1" applyBorder="1" applyFont="1">
      <alignment horizontal="center" readingOrder="0" vertical="bottom"/>
    </xf>
    <xf borderId="1" fillId="3" fontId="3" numFmtId="165" xfId="0" applyAlignment="1" applyBorder="1" applyFont="1" applyNumberFormat="1">
      <alignment vertical="bottom"/>
    </xf>
    <xf borderId="1" fillId="3" fontId="8" numFmtId="165" xfId="0" applyAlignment="1" applyBorder="1" applyFont="1" applyNumberFormat="1">
      <alignment horizontal="center" vertical="bottom"/>
    </xf>
    <xf borderId="1" fillId="3" fontId="8" numFmtId="165" xfId="0" applyAlignment="1" applyBorder="1" applyFont="1" applyNumberFormat="1">
      <alignment horizontal="center" readingOrder="0" vertical="bottom"/>
    </xf>
    <xf borderId="1" fillId="7" fontId="11" numFmtId="165" xfId="0" applyAlignment="1" applyBorder="1" applyFont="1" applyNumberFormat="1">
      <alignment horizontal="center" vertical="bottom"/>
    </xf>
    <xf borderId="1" fillId="7" fontId="1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0" fontId="3" numFmtId="164" xfId="0" applyAlignment="1" applyBorder="1" applyFont="1" applyNumberFormat="1">
      <alignment readingOrder="0" vertical="bottom"/>
    </xf>
    <xf borderId="1" fillId="0" fontId="13" numFmtId="0" xfId="0" applyAlignment="1" applyBorder="1" applyFont="1">
      <alignment horizontal="center" readingOrder="0"/>
    </xf>
    <xf borderId="1" fillId="0" fontId="13" numFmtId="164" xfId="0" applyAlignment="1" applyBorder="1" applyFont="1" applyNumberFormat="1">
      <alignment horizontal="center" readingOrder="0"/>
    </xf>
    <xf borderId="1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vertical="bottom"/>
    </xf>
    <xf borderId="1" fillId="6" fontId="3" numFmtId="164" xfId="0" applyAlignment="1" applyBorder="1" applyFont="1" applyNumberFormat="1">
      <alignment horizontal="center" vertical="bottom"/>
    </xf>
    <xf borderId="0" fillId="6" fontId="3" numFmtId="0" xfId="0" applyAlignment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0" fillId="3" fontId="3" numFmtId="0" xfId="0" applyAlignment="1" applyFon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3" fillId="0" fontId="3" numFmtId="165" xfId="0" applyAlignment="1" applyBorder="1" applyFont="1" applyNumberFormat="1">
      <alignment horizontal="center" vertical="bottom"/>
    </xf>
    <xf borderId="3" fillId="0" fontId="3" numFmtId="164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165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1" fillId="5" fontId="3" numFmtId="164" xfId="0" applyAlignment="1" applyBorder="1" applyFont="1" applyNumberFormat="1">
      <alignment horizontal="center" vertical="bottom"/>
    </xf>
    <xf borderId="3" fillId="0" fontId="3" numFmtId="165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readingOrder="0"/>
    </xf>
    <xf borderId="2" fillId="6" fontId="3" numFmtId="0" xfId="0" applyAlignment="1" applyBorder="1" applyFont="1">
      <alignment horizontal="center" readingOrder="0" vertical="bottom"/>
    </xf>
    <xf borderId="3" fillId="6" fontId="3" numFmtId="0" xfId="0" applyAlignment="1" applyBorder="1" applyFont="1">
      <alignment horizontal="center" readingOrder="0" vertical="bottom"/>
    </xf>
    <xf borderId="3" fillId="6" fontId="3" numFmtId="165" xfId="0" applyAlignment="1" applyBorder="1" applyFont="1" applyNumberFormat="1">
      <alignment horizontal="center" vertical="bottom"/>
    </xf>
    <xf borderId="3" fillId="6" fontId="3" numFmtId="164" xfId="0" applyAlignment="1" applyBorder="1" applyFont="1" applyNumberFormat="1">
      <alignment horizontal="center" readingOrder="0" vertical="bottom"/>
    </xf>
    <xf borderId="1" fillId="0" fontId="13" numFmtId="0" xfId="0" applyAlignment="1" applyBorder="1" applyFont="1">
      <alignment horizontal="center"/>
    </xf>
    <xf borderId="1" fillId="0" fontId="13" numFmtId="165" xfId="0" applyAlignment="1" applyBorder="1" applyFont="1" applyNumberFormat="1">
      <alignment horizontal="center"/>
    </xf>
    <xf borderId="0" fillId="0" fontId="14" numFmtId="0" xfId="0" applyAlignment="1" applyFont="1">
      <alignment horizontal="center"/>
    </xf>
    <xf borderId="1" fillId="5" fontId="2" numFmtId="0" xfId="0" applyAlignment="1" applyBorder="1" applyFont="1">
      <alignment horizontal="center" vertical="bottom"/>
    </xf>
    <xf borderId="1" fillId="7" fontId="15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20</xdr:row>
      <xdr:rowOff>0</xdr:rowOff>
    </xdr:from>
    <xdr:ext cx="4895850" cy="203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13"/>
    <col customWidth="1" min="3" max="3" width="22.88"/>
    <col customWidth="1" min="4" max="4" width="19.75"/>
    <col customWidth="1" min="5" max="5" width="17.0"/>
    <col customWidth="1" min="6" max="6" width="16.25"/>
    <col customWidth="1" min="7" max="7" width="16.13"/>
    <col customWidth="1" min="8" max="8" width="17.88"/>
    <col customWidth="1" min="9" max="9" width="15.0"/>
    <col customWidth="1" min="11" max="11" width="19.25"/>
    <col customWidth="1" min="12" max="12" width="18.63"/>
    <col customWidth="1" min="13" max="13" width="38.88"/>
    <col customWidth="1" min="14" max="14" width="26.63"/>
    <col customWidth="1" min="15" max="15" width="30.75"/>
    <col customWidth="1" min="16" max="16" width="34.5"/>
  </cols>
  <sheetData>
    <row r="2">
      <c r="A2" s="1"/>
      <c r="B2" s="2" t="s">
        <v>0</v>
      </c>
      <c r="C2" s="3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4" t="s">
        <v>7</v>
      </c>
      <c r="J2" s="5"/>
      <c r="K2" s="6" t="s">
        <v>8</v>
      </c>
      <c r="L2" s="7" t="s">
        <v>9</v>
      </c>
      <c r="M2" s="8" t="s">
        <v>10</v>
      </c>
      <c r="N2" s="8" t="s">
        <v>11</v>
      </c>
      <c r="O2" s="9"/>
      <c r="P2" s="9"/>
      <c r="Q2" s="9"/>
      <c r="R2" s="9"/>
      <c r="S2" s="9"/>
    </row>
    <row r="3">
      <c r="A3" s="10" t="s">
        <v>12</v>
      </c>
      <c r="B3" s="11">
        <v>44774.0</v>
      </c>
      <c r="C3" s="12">
        <v>32000.0</v>
      </c>
      <c r="D3" s="12">
        <v>47000.0</v>
      </c>
      <c r="E3" s="5"/>
      <c r="F3" s="5"/>
      <c r="G3" s="5"/>
      <c r="H3" s="5"/>
      <c r="I3" s="13">
        <v>1.0</v>
      </c>
      <c r="J3" s="14"/>
      <c r="K3" s="12">
        <v>70000.0</v>
      </c>
      <c r="L3" s="15">
        <v>32000.0</v>
      </c>
      <c r="M3" s="16">
        <f>H34/I34</f>
        <v>22003.9</v>
      </c>
      <c r="N3" s="16">
        <f>D34/I34</f>
        <v>66600</v>
      </c>
      <c r="O3" s="9"/>
      <c r="P3" s="9"/>
      <c r="Q3" s="9"/>
      <c r="R3" s="9"/>
      <c r="S3" s="9"/>
    </row>
    <row r="4">
      <c r="A4" s="10" t="s">
        <v>13</v>
      </c>
      <c r="B4" s="11">
        <v>44775.0</v>
      </c>
      <c r="C4" s="12">
        <v>44000.0</v>
      </c>
      <c r="D4" s="12">
        <v>73000.0</v>
      </c>
      <c r="E4" s="5"/>
      <c r="F4" s="5"/>
      <c r="G4" s="5"/>
      <c r="H4" s="5"/>
      <c r="I4" s="17">
        <v>1.0</v>
      </c>
      <c r="J4" s="14"/>
      <c r="K4" s="12">
        <v>70000.0</v>
      </c>
      <c r="L4" s="15">
        <v>44000.0</v>
      </c>
      <c r="M4" s="1"/>
      <c r="N4" s="1"/>
      <c r="O4" s="9"/>
      <c r="P4" s="9"/>
      <c r="Q4" s="9"/>
      <c r="R4" s="9"/>
      <c r="S4" s="9"/>
    </row>
    <row r="5">
      <c r="A5" s="10" t="s">
        <v>14</v>
      </c>
      <c r="B5" s="11">
        <v>44776.0</v>
      </c>
      <c r="C5" s="12">
        <v>110000.0</v>
      </c>
      <c r="D5" s="12">
        <v>52000.0</v>
      </c>
      <c r="E5" s="5"/>
      <c r="F5" s="5"/>
      <c r="G5" s="5"/>
      <c r="H5" s="5"/>
      <c r="I5" s="17">
        <v>1.0</v>
      </c>
      <c r="J5" s="14"/>
      <c r="K5" s="12">
        <v>70000.0</v>
      </c>
      <c r="L5" s="15">
        <v>110000.0</v>
      </c>
      <c r="M5" s="18" t="s">
        <v>15</v>
      </c>
      <c r="N5" s="19" t="s">
        <v>16</v>
      </c>
      <c r="O5" s="9"/>
      <c r="P5" s="9"/>
      <c r="Q5" s="9"/>
      <c r="R5" s="9"/>
      <c r="S5" s="9"/>
    </row>
    <row r="6">
      <c r="A6" s="10" t="s">
        <v>17</v>
      </c>
      <c r="B6" s="11">
        <v>44777.0</v>
      </c>
      <c r="C6" s="12">
        <v>114000.0</v>
      </c>
      <c r="D6" s="12">
        <v>80000.0</v>
      </c>
      <c r="E6" s="5"/>
      <c r="F6" s="5"/>
      <c r="G6" s="5"/>
      <c r="H6" s="5"/>
      <c r="I6" s="17">
        <v>1.0</v>
      </c>
      <c r="J6" s="14"/>
      <c r="K6" s="12">
        <v>70000.0</v>
      </c>
      <c r="L6" s="15">
        <v>114000.0</v>
      </c>
      <c r="M6" s="20"/>
      <c r="N6" s="21">
        <v>70000.0</v>
      </c>
      <c r="O6" s="9"/>
      <c r="P6" s="9"/>
      <c r="Q6" s="1"/>
      <c r="R6" s="9"/>
      <c r="S6" s="9"/>
    </row>
    <row r="7">
      <c r="A7" s="10" t="s">
        <v>18</v>
      </c>
      <c r="B7" s="11">
        <v>44778.0</v>
      </c>
      <c r="C7" s="12">
        <v>120000.0</v>
      </c>
      <c r="D7" s="12">
        <v>60000.0</v>
      </c>
      <c r="E7" s="5"/>
      <c r="F7" s="5"/>
      <c r="G7" s="5"/>
      <c r="H7" s="5"/>
      <c r="I7" s="17">
        <v>1.0</v>
      </c>
      <c r="J7" s="14"/>
      <c r="K7" s="12">
        <v>70000.0</v>
      </c>
      <c r="L7" s="15">
        <v>120000.0</v>
      </c>
      <c r="M7" s="1" t="s">
        <v>19</v>
      </c>
      <c r="N7" s="1"/>
      <c r="O7" s="9"/>
      <c r="P7" s="1"/>
      <c r="Q7" s="1"/>
      <c r="R7" s="9"/>
      <c r="S7" s="9"/>
    </row>
    <row r="8">
      <c r="A8" s="10" t="s">
        <v>20</v>
      </c>
      <c r="B8" s="11">
        <v>44779.0</v>
      </c>
      <c r="C8" s="12">
        <v>100000.0</v>
      </c>
      <c r="D8" s="12">
        <v>82000.0</v>
      </c>
      <c r="E8" s="5"/>
      <c r="F8" s="5"/>
      <c r="G8" s="5"/>
      <c r="H8" s="5"/>
      <c r="I8" s="17">
        <v>1.0</v>
      </c>
      <c r="J8" s="14"/>
      <c r="K8" s="12">
        <v>70000.0</v>
      </c>
      <c r="L8" s="15">
        <v>100000.0</v>
      </c>
      <c r="M8" s="1"/>
      <c r="N8" s="1"/>
      <c r="O8" s="1"/>
      <c r="P8" s="1"/>
      <c r="Q8" s="1"/>
      <c r="R8" s="9"/>
      <c r="S8" s="9"/>
    </row>
    <row r="9">
      <c r="A9" s="10" t="s">
        <v>21</v>
      </c>
      <c r="B9" s="11">
        <v>44780.0</v>
      </c>
      <c r="C9" s="12">
        <v>200000.0</v>
      </c>
      <c r="D9" s="12">
        <v>70000.0</v>
      </c>
      <c r="E9" s="5"/>
      <c r="F9" s="5"/>
      <c r="G9" s="5"/>
      <c r="H9" s="5"/>
      <c r="I9" s="17">
        <v>1.0</v>
      </c>
      <c r="J9" s="14"/>
      <c r="K9" s="12">
        <v>70000.0</v>
      </c>
      <c r="L9" s="15">
        <v>200000.0</v>
      </c>
      <c r="M9" s="22" t="s">
        <v>22</v>
      </c>
      <c r="N9" s="22" t="s">
        <v>23</v>
      </c>
      <c r="O9" s="23" t="s">
        <v>24</v>
      </c>
      <c r="P9" s="23" t="s">
        <v>25</v>
      </c>
      <c r="Q9" s="1"/>
      <c r="R9" s="9"/>
      <c r="S9" s="9"/>
    </row>
    <row r="10">
      <c r="A10" s="10" t="s">
        <v>12</v>
      </c>
      <c r="B10" s="11">
        <v>44781.0</v>
      </c>
      <c r="C10" s="12">
        <v>96000.0</v>
      </c>
      <c r="D10" s="12">
        <v>80000.0</v>
      </c>
      <c r="E10" s="5"/>
      <c r="F10" s="5"/>
      <c r="G10" s="5"/>
      <c r="H10" s="5"/>
      <c r="I10" s="17">
        <v>1.0</v>
      </c>
      <c r="J10" s="14"/>
      <c r="K10" s="12">
        <v>70000.0</v>
      </c>
      <c r="L10" s="15">
        <v>96000.0</v>
      </c>
      <c r="M10" s="19">
        <f>D34+N12-N10-N13-E34-Salaires!H24</f>
        <v>1080090</v>
      </c>
      <c r="N10" s="24">
        <f>O10+P10</f>
        <v>0</v>
      </c>
      <c r="O10" s="25">
        <v>0.0</v>
      </c>
      <c r="P10" s="25"/>
      <c r="Q10" s="26"/>
      <c r="R10" s="9"/>
      <c r="S10" s="9"/>
    </row>
    <row r="11">
      <c r="A11" s="10" t="s">
        <v>13</v>
      </c>
      <c r="B11" s="11">
        <v>44782.0</v>
      </c>
      <c r="C11" s="12">
        <v>0.0</v>
      </c>
      <c r="D11" s="12">
        <v>60000.0</v>
      </c>
      <c r="E11" s="5"/>
      <c r="F11" s="5"/>
      <c r="G11" s="5"/>
      <c r="H11" s="5"/>
      <c r="I11" s="17">
        <v>1.0</v>
      </c>
      <c r="J11" s="14"/>
      <c r="K11" s="12">
        <v>70000.0</v>
      </c>
      <c r="L11" s="15">
        <v>0.0</v>
      </c>
      <c r="M11" s="1"/>
      <c r="N11" s="1" t="s">
        <v>26</v>
      </c>
      <c r="O11" s="26"/>
      <c r="P11" s="27"/>
      <c r="Q11" s="1"/>
      <c r="R11" s="9"/>
      <c r="S11" s="9"/>
    </row>
    <row r="12">
      <c r="A12" s="10" t="s">
        <v>14</v>
      </c>
      <c r="B12" s="11">
        <v>44783.0</v>
      </c>
      <c r="C12" s="12">
        <v>0.0</v>
      </c>
      <c r="D12" s="12">
        <v>51000.0</v>
      </c>
      <c r="E12" s="5"/>
      <c r="F12" s="5"/>
      <c r="G12" s="5"/>
      <c r="H12" s="5"/>
      <c r="I12" s="17">
        <v>1.0</v>
      </c>
      <c r="J12" s="14"/>
      <c r="K12" s="12">
        <v>70000.0</v>
      </c>
      <c r="L12" s="15">
        <v>0.0</v>
      </c>
      <c r="M12" s="28" t="s">
        <v>27</v>
      </c>
      <c r="N12" s="29">
        <v>800000.0</v>
      </c>
      <c r="O12" s="26"/>
      <c r="P12" s="30"/>
      <c r="Q12" s="1"/>
      <c r="R12" s="9"/>
      <c r="S12" s="9"/>
    </row>
    <row r="13">
      <c r="A13" s="10" t="s">
        <v>17</v>
      </c>
      <c r="B13" s="11">
        <v>44784.0</v>
      </c>
      <c r="C13" s="12">
        <v>54000.0</v>
      </c>
      <c r="D13" s="12">
        <v>40000.0</v>
      </c>
      <c r="E13" s="5"/>
      <c r="F13" s="5"/>
      <c r="G13" s="5"/>
      <c r="H13" s="5"/>
      <c r="I13" s="17">
        <v>1.0</v>
      </c>
      <c r="J13" s="14"/>
      <c r="K13" s="12">
        <v>70000.0</v>
      </c>
      <c r="L13" s="15">
        <v>54000.0</v>
      </c>
      <c r="M13" s="31" t="s">
        <v>28</v>
      </c>
      <c r="N13" s="32">
        <v>270000.0</v>
      </c>
      <c r="O13" s="9"/>
      <c r="P13" s="33"/>
      <c r="Q13" s="34"/>
      <c r="R13" s="9"/>
      <c r="S13" s="9"/>
    </row>
    <row r="14">
      <c r="A14" s="10" t="s">
        <v>18</v>
      </c>
      <c r="B14" s="11">
        <v>44785.0</v>
      </c>
      <c r="C14" s="12">
        <v>65000.0</v>
      </c>
      <c r="D14" s="12">
        <v>62000.0</v>
      </c>
      <c r="E14" s="5"/>
      <c r="F14" s="5"/>
      <c r="G14" s="5"/>
      <c r="H14" s="5"/>
      <c r="I14" s="17">
        <v>1.0</v>
      </c>
      <c r="J14" s="14"/>
      <c r="K14" s="12">
        <v>70000.0</v>
      </c>
      <c r="L14" s="15">
        <v>65000.0</v>
      </c>
      <c r="M14" s="35"/>
      <c r="N14" s="36" t="s">
        <v>29</v>
      </c>
      <c r="O14" s="9"/>
      <c r="P14" s="37"/>
      <c r="Q14" s="26"/>
      <c r="R14" s="9"/>
      <c r="S14" s="9"/>
    </row>
    <row r="15">
      <c r="A15" s="10" t="s">
        <v>20</v>
      </c>
      <c r="B15" s="11">
        <v>44786.0</v>
      </c>
      <c r="C15" s="12">
        <v>70000.0</v>
      </c>
      <c r="D15" s="12">
        <v>40000.0</v>
      </c>
      <c r="E15" s="5"/>
      <c r="F15" s="5"/>
      <c r="G15" s="5"/>
      <c r="H15" s="5"/>
      <c r="I15" s="17">
        <v>1.0</v>
      </c>
      <c r="J15" s="14"/>
      <c r="K15" s="12">
        <v>70000.0</v>
      </c>
      <c r="L15" s="15">
        <v>70000.0</v>
      </c>
      <c r="M15" s="38" t="s">
        <v>30</v>
      </c>
      <c r="N15" s="34">
        <v>50000.0</v>
      </c>
      <c r="O15" s="9"/>
      <c r="P15" s="37"/>
      <c r="Q15" s="9"/>
      <c r="R15" s="9"/>
      <c r="S15" s="9"/>
    </row>
    <row r="16">
      <c r="A16" s="10" t="s">
        <v>21</v>
      </c>
      <c r="B16" s="11">
        <v>44787.0</v>
      </c>
      <c r="C16" s="12">
        <v>124000.0</v>
      </c>
      <c r="D16" s="12">
        <v>85000.0</v>
      </c>
      <c r="E16" s="5"/>
      <c r="F16" s="5"/>
      <c r="G16" s="5"/>
      <c r="H16" s="5"/>
      <c r="I16" s="17">
        <v>1.0</v>
      </c>
      <c r="J16" s="14"/>
      <c r="K16" s="12">
        <v>70000.0</v>
      </c>
      <c r="L16" s="15">
        <v>124000.0</v>
      </c>
      <c r="M16" s="39"/>
      <c r="N16" s="9"/>
      <c r="O16" s="9"/>
      <c r="P16" s="33"/>
      <c r="Q16" s="9"/>
      <c r="R16" s="9"/>
      <c r="S16" s="9"/>
    </row>
    <row r="17">
      <c r="A17" s="10" t="s">
        <v>12</v>
      </c>
      <c r="B17" s="11">
        <v>44788.0</v>
      </c>
      <c r="C17" s="12">
        <v>42000.0</v>
      </c>
      <c r="D17" s="12">
        <v>60000.0</v>
      </c>
      <c r="E17" s="5"/>
      <c r="F17" s="5"/>
      <c r="G17" s="5"/>
      <c r="H17" s="5"/>
      <c r="I17" s="17">
        <v>1.0</v>
      </c>
      <c r="J17" s="14"/>
      <c r="K17" s="12">
        <v>70000.0</v>
      </c>
      <c r="L17" s="15">
        <v>42000.0</v>
      </c>
      <c r="M17" s="26"/>
      <c r="N17" s="36"/>
      <c r="O17" s="9"/>
      <c r="P17" s="40"/>
      <c r="Q17" s="9"/>
      <c r="R17" s="9"/>
      <c r="S17" s="9"/>
    </row>
    <row r="18">
      <c r="A18" s="10" t="s">
        <v>13</v>
      </c>
      <c r="B18" s="11">
        <v>44789.0</v>
      </c>
      <c r="C18" s="12">
        <v>45000.0</v>
      </c>
      <c r="D18" s="12">
        <v>60000.0</v>
      </c>
      <c r="E18" s="5"/>
      <c r="F18" s="5"/>
      <c r="G18" s="5"/>
      <c r="H18" s="5"/>
      <c r="I18" s="17">
        <v>1.0</v>
      </c>
      <c r="J18" s="14"/>
      <c r="K18" s="12">
        <v>70000.0</v>
      </c>
      <c r="L18" s="15">
        <v>45000.0</v>
      </c>
      <c r="M18" s="41" t="s">
        <v>31</v>
      </c>
      <c r="N18" s="36"/>
      <c r="O18" s="9"/>
      <c r="P18" s="9"/>
      <c r="Q18" s="9"/>
      <c r="R18" s="9"/>
      <c r="S18" s="9"/>
    </row>
    <row r="19">
      <c r="A19" s="10" t="s">
        <v>14</v>
      </c>
      <c r="B19" s="11">
        <v>44790.0</v>
      </c>
      <c r="C19" s="12">
        <v>44000.0</v>
      </c>
      <c r="D19" s="12">
        <v>60000.0</v>
      </c>
      <c r="E19" s="5"/>
      <c r="F19" s="5"/>
      <c r="G19" s="5"/>
      <c r="H19" s="5"/>
      <c r="I19" s="17">
        <v>1.0</v>
      </c>
      <c r="J19" s="14"/>
      <c r="K19" s="12">
        <v>70000.0</v>
      </c>
      <c r="L19" s="15">
        <v>44000.0</v>
      </c>
      <c r="M19" s="15">
        <f>D34-C34</f>
        <v>-898000</v>
      </c>
      <c r="N19" s="36"/>
      <c r="O19" s="9"/>
      <c r="P19" s="9"/>
      <c r="Q19" s="9"/>
      <c r="R19" s="9"/>
      <c r="S19" s="9"/>
    </row>
    <row r="20">
      <c r="A20" s="10" t="s">
        <v>17</v>
      </c>
      <c r="B20" s="11">
        <v>44791.0</v>
      </c>
      <c r="C20" s="12">
        <v>41000.0</v>
      </c>
      <c r="D20" s="12">
        <v>90000.0</v>
      </c>
      <c r="E20" s="5"/>
      <c r="F20" s="5"/>
      <c r="G20" s="5"/>
      <c r="H20" s="5"/>
      <c r="I20" s="17">
        <v>1.0</v>
      </c>
      <c r="J20" s="14"/>
      <c r="K20" s="12">
        <v>70000.0</v>
      </c>
      <c r="L20" s="15">
        <v>41000.0</v>
      </c>
      <c r="M20" s="42" t="s">
        <v>32</v>
      </c>
      <c r="N20" s="36"/>
      <c r="O20" s="9"/>
      <c r="P20" s="9"/>
      <c r="Q20" s="9"/>
      <c r="R20" s="9"/>
      <c r="S20" s="9"/>
    </row>
    <row r="21">
      <c r="A21" s="10" t="s">
        <v>18</v>
      </c>
      <c r="B21" s="11">
        <v>44792.0</v>
      </c>
      <c r="C21" s="12">
        <v>94000.0</v>
      </c>
      <c r="D21" s="12">
        <v>80000.0</v>
      </c>
      <c r="E21" s="5"/>
      <c r="F21" s="5"/>
      <c r="G21" s="5"/>
      <c r="H21" s="5"/>
      <c r="I21" s="17">
        <v>1.0</v>
      </c>
      <c r="J21" s="14"/>
      <c r="K21" s="12">
        <v>70000.0</v>
      </c>
      <c r="L21" s="15">
        <v>94000.0</v>
      </c>
      <c r="M21" s="21">
        <f>D34-K34</f>
        <v>-68000</v>
      </c>
      <c r="N21" s="36"/>
      <c r="O21" s="9"/>
      <c r="P21" s="9"/>
      <c r="Q21" s="9"/>
      <c r="R21" s="9"/>
      <c r="S21" s="9"/>
    </row>
    <row r="22">
      <c r="A22" s="10" t="s">
        <v>20</v>
      </c>
      <c r="B22" s="11">
        <v>44793.0</v>
      </c>
      <c r="C22" s="12">
        <v>92000.0</v>
      </c>
      <c r="D22" s="12">
        <v>100000.0</v>
      </c>
      <c r="E22" s="5"/>
      <c r="F22" s="5"/>
      <c r="G22" s="5"/>
      <c r="H22" s="5"/>
      <c r="I22" s="17">
        <v>1.0</v>
      </c>
      <c r="J22" s="14"/>
      <c r="K22" s="12">
        <v>70000.0</v>
      </c>
      <c r="L22" s="15">
        <v>92000.0</v>
      </c>
      <c r="M22" s="1"/>
      <c r="N22" s="36"/>
      <c r="O22" s="37"/>
      <c r="P22" s="9"/>
      <c r="Q22" s="9"/>
      <c r="R22" s="9"/>
      <c r="S22" s="9"/>
    </row>
    <row r="23">
      <c r="A23" s="10" t="s">
        <v>21</v>
      </c>
      <c r="B23" s="11">
        <v>44794.0</v>
      </c>
      <c r="C23" s="43">
        <v>70000.0</v>
      </c>
      <c r="D23" s="43">
        <v>0.0</v>
      </c>
      <c r="E23" s="44"/>
      <c r="F23" s="44"/>
      <c r="G23" s="44"/>
      <c r="H23" s="44"/>
      <c r="I23" s="45"/>
      <c r="J23" s="14"/>
      <c r="K23" s="12">
        <v>0.0</v>
      </c>
      <c r="L23" s="15">
        <v>70000.0</v>
      </c>
      <c r="M23" s="1"/>
      <c r="N23" s="36"/>
      <c r="O23" s="9"/>
      <c r="P23" s="9"/>
      <c r="Q23" s="9"/>
      <c r="R23" s="9"/>
      <c r="S23" s="9"/>
    </row>
    <row r="24">
      <c r="A24" s="10" t="s">
        <v>12</v>
      </c>
      <c r="B24" s="11">
        <v>44795.0</v>
      </c>
      <c r="C24" s="43">
        <v>40000.0</v>
      </c>
      <c r="D24" s="43">
        <v>0.0</v>
      </c>
      <c r="E24" s="44"/>
      <c r="F24" s="44"/>
      <c r="G24" s="44"/>
      <c r="H24" s="44"/>
      <c r="I24" s="45"/>
      <c r="J24" s="14"/>
      <c r="K24" s="12">
        <v>0.0</v>
      </c>
      <c r="L24" s="15">
        <v>40000.0</v>
      </c>
      <c r="M24" s="28" t="s">
        <v>33</v>
      </c>
      <c r="N24" s="36"/>
      <c r="O24" s="9"/>
      <c r="P24" s="9"/>
      <c r="Q24" s="9"/>
      <c r="R24" s="9"/>
      <c r="S24" s="9"/>
    </row>
    <row r="25">
      <c r="A25" s="10" t="s">
        <v>13</v>
      </c>
      <c r="B25" s="11">
        <v>44796.0</v>
      </c>
      <c r="C25" s="43">
        <v>60000.0</v>
      </c>
      <c r="D25" s="43">
        <v>0.0</v>
      </c>
      <c r="E25" s="44"/>
      <c r="F25" s="44"/>
      <c r="G25" s="44"/>
      <c r="H25" s="44"/>
      <c r="I25" s="45"/>
      <c r="J25" s="14"/>
      <c r="K25" s="12">
        <v>0.0</v>
      </c>
      <c r="L25" s="15">
        <v>60000.0</v>
      </c>
      <c r="M25" s="21">
        <f>D7+D14+D21+D28</f>
        <v>202000</v>
      </c>
      <c r="N25" s="9"/>
      <c r="O25" s="9"/>
      <c r="P25" s="9"/>
      <c r="Q25" s="9"/>
      <c r="R25" s="9"/>
      <c r="S25" s="9"/>
    </row>
    <row r="26">
      <c r="A26" s="10" t="s">
        <v>14</v>
      </c>
      <c r="B26" s="11">
        <v>44797.0</v>
      </c>
      <c r="C26" s="43">
        <v>66000.0</v>
      </c>
      <c r="D26" s="43">
        <v>0.0</v>
      </c>
      <c r="E26" s="44"/>
      <c r="F26" s="44"/>
      <c r="G26" s="44"/>
      <c r="H26" s="44"/>
      <c r="I26" s="45"/>
      <c r="J26" s="14"/>
      <c r="K26" s="12">
        <v>0.0</v>
      </c>
      <c r="L26" s="15">
        <v>66000.0</v>
      </c>
      <c r="M26" s="21"/>
      <c r="N26" s="9"/>
      <c r="O26" s="9"/>
      <c r="P26" s="9"/>
      <c r="Q26" s="9"/>
      <c r="R26" s="9"/>
      <c r="S26" s="9"/>
    </row>
    <row r="27">
      <c r="A27" s="10" t="s">
        <v>17</v>
      </c>
      <c r="B27" s="11">
        <v>44798.0</v>
      </c>
      <c r="C27" s="43">
        <v>80000.0</v>
      </c>
      <c r="D27" s="43">
        <v>0.0</v>
      </c>
      <c r="E27" s="44"/>
      <c r="F27" s="44"/>
      <c r="G27" s="44"/>
      <c r="H27" s="44"/>
      <c r="I27" s="45"/>
      <c r="J27" s="14"/>
      <c r="K27" s="12">
        <v>0.0</v>
      </c>
      <c r="L27" s="15">
        <v>80000.0</v>
      </c>
      <c r="M27" s="46" t="s">
        <v>34</v>
      </c>
      <c r="N27" s="9"/>
      <c r="O27" s="9"/>
      <c r="P27" s="9"/>
      <c r="Q27" s="9"/>
      <c r="R27" s="9"/>
      <c r="S27" s="9"/>
    </row>
    <row r="28">
      <c r="A28" s="10" t="s">
        <v>18</v>
      </c>
      <c r="B28" s="11">
        <v>44799.0</v>
      </c>
      <c r="C28" s="43">
        <v>60000.0</v>
      </c>
      <c r="D28" s="43">
        <v>0.0</v>
      </c>
      <c r="E28" s="44"/>
      <c r="F28" s="44"/>
      <c r="G28" s="44"/>
      <c r="H28" s="44"/>
      <c r="I28" s="45"/>
      <c r="J28" s="14"/>
      <c r="K28" s="12">
        <v>0.0</v>
      </c>
      <c r="L28" s="15">
        <v>60000.0</v>
      </c>
      <c r="M28" s="29">
        <v>720000.0</v>
      </c>
      <c r="N28" s="26"/>
      <c r="O28" s="26"/>
      <c r="P28" s="9"/>
      <c r="Q28" s="9"/>
      <c r="R28" s="9"/>
      <c r="S28" s="9"/>
    </row>
    <row r="29">
      <c r="A29" s="10" t="s">
        <v>20</v>
      </c>
      <c r="B29" s="11">
        <v>44800.0</v>
      </c>
      <c r="C29" s="43">
        <v>64000.0</v>
      </c>
      <c r="D29" s="43">
        <v>0.0</v>
      </c>
      <c r="E29" s="44"/>
      <c r="F29" s="44"/>
      <c r="G29" s="44"/>
      <c r="H29" s="44"/>
      <c r="I29" s="45"/>
      <c r="J29" s="14"/>
      <c r="K29" s="12">
        <v>0.0</v>
      </c>
      <c r="L29" s="15">
        <v>64000.0</v>
      </c>
      <c r="M29" s="47" t="s">
        <v>35</v>
      </c>
      <c r="N29" s="37"/>
      <c r="O29" s="48"/>
      <c r="P29" s="9"/>
      <c r="Q29" s="9"/>
      <c r="R29" s="9"/>
      <c r="S29" s="9"/>
    </row>
    <row r="30">
      <c r="A30" s="10" t="s">
        <v>21</v>
      </c>
      <c r="B30" s="11">
        <v>44801.0</v>
      </c>
      <c r="C30" s="43">
        <v>83000.0</v>
      </c>
      <c r="D30" s="43">
        <v>0.0</v>
      </c>
      <c r="E30" s="44"/>
      <c r="F30" s="44"/>
      <c r="G30" s="44"/>
      <c r="H30" s="44"/>
      <c r="I30" s="45"/>
      <c r="J30" s="14"/>
      <c r="K30" s="12">
        <v>0.0</v>
      </c>
      <c r="L30" s="15">
        <v>83000.0</v>
      </c>
      <c r="M30" s="21">
        <f>M10-M28</f>
        <v>360090</v>
      </c>
      <c r="N30" s="37"/>
      <c r="O30" s="48"/>
      <c r="P30" s="9"/>
      <c r="Q30" s="9"/>
      <c r="R30" s="9"/>
      <c r="S30" s="9"/>
    </row>
    <row r="31">
      <c r="A31" s="10" t="s">
        <v>12</v>
      </c>
      <c r="B31" s="11">
        <v>44802.0</v>
      </c>
      <c r="C31" s="43">
        <v>60000.0</v>
      </c>
      <c r="D31" s="43">
        <v>0.0</v>
      </c>
      <c r="E31" s="44"/>
      <c r="F31" s="44"/>
      <c r="G31" s="44"/>
      <c r="H31" s="44"/>
      <c r="I31" s="45"/>
      <c r="J31" s="14"/>
      <c r="K31" s="12">
        <v>0.0</v>
      </c>
      <c r="L31" s="15">
        <v>60000.0</v>
      </c>
      <c r="M31" s="9"/>
      <c r="N31" s="9"/>
      <c r="O31" s="9"/>
      <c r="P31" s="9"/>
      <c r="Q31" s="9"/>
      <c r="R31" s="9"/>
      <c r="S31" s="9"/>
    </row>
    <row r="32">
      <c r="A32" s="10" t="s">
        <v>13</v>
      </c>
      <c r="B32" s="11">
        <v>44803.0</v>
      </c>
      <c r="C32" s="43">
        <v>100000.0</v>
      </c>
      <c r="D32" s="43">
        <v>0.0</v>
      </c>
      <c r="E32" s="44"/>
      <c r="F32" s="44"/>
      <c r="G32" s="44"/>
      <c r="H32" s="44"/>
      <c r="I32" s="45"/>
      <c r="J32" s="14"/>
      <c r="K32" s="12">
        <v>0.0</v>
      </c>
      <c r="L32" s="15">
        <v>100000.0</v>
      </c>
      <c r="M32" s="9"/>
      <c r="N32" s="9"/>
      <c r="O32" s="9"/>
      <c r="P32" s="9"/>
      <c r="Q32" s="9"/>
      <c r="R32" s="9"/>
      <c r="S32" s="9"/>
    </row>
    <row r="33">
      <c r="A33" s="10" t="s">
        <v>14</v>
      </c>
      <c r="B33" s="11">
        <v>44804.0</v>
      </c>
      <c r="C33" s="43">
        <v>60000.0</v>
      </c>
      <c r="D33" s="43">
        <v>0.0</v>
      </c>
      <c r="E33" s="44"/>
      <c r="F33" s="44"/>
      <c r="G33" s="44"/>
      <c r="H33" s="44"/>
      <c r="I33" s="45"/>
      <c r="J33" s="14"/>
      <c r="K33" s="12">
        <v>0.0</v>
      </c>
      <c r="L33" s="15">
        <v>60000.0</v>
      </c>
      <c r="M33" s="9"/>
      <c r="N33" s="9"/>
      <c r="O33" s="9"/>
      <c r="P33" s="9"/>
      <c r="Q33" s="9"/>
      <c r="R33" s="9"/>
      <c r="S33" s="9"/>
    </row>
    <row r="34">
      <c r="A34" s="1"/>
      <c r="B34" s="1"/>
      <c r="C34" s="24">
        <f t="shared" ref="C34:D34" si="1">SUM(C3:C33)</f>
        <v>2230000</v>
      </c>
      <c r="D34" s="19">
        <f t="shared" si="1"/>
        <v>1332000</v>
      </c>
      <c r="E34" s="49">
        <f>'Les charges '!F359*1</f>
        <v>594310</v>
      </c>
      <c r="F34" s="50">
        <f>'Pointage '!O35*1</f>
        <v>187612</v>
      </c>
      <c r="G34" s="51">
        <v>110000.0</v>
      </c>
      <c r="H34" s="24">
        <f>D34-G34-F34-E34</f>
        <v>440078</v>
      </c>
      <c r="I34" s="6">
        <f>SUM(I3:I33)</f>
        <v>20</v>
      </c>
      <c r="J34" s="1"/>
      <c r="K34" s="31">
        <f>SUM(K3:K33)</f>
        <v>1400000</v>
      </c>
      <c r="L34" s="14"/>
      <c r="M34" s="9"/>
      <c r="N34" s="9"/>
      <c r="O34" s="9"/>
      <c r="P34" s="9"/>
      <c r="Q34" s="9"/>
      <c r="R34" s="9"/>
      <c r="S34" s="9"/>
    </row>
    <row r="35">
      <c r="A35" s="1"/>
      <c r="B35" s="1"/>
      <c r="C35" s="1"/>
      <c r="D35" s="1"/>
      <c r="E35" s="1"/>
      <c r="F35" s="1"/>
      <c r="G35" s="1"/>
      <c r="H35" s="1"/>
      <c r="I35" s="9"/>
      <c r="J35" s="9"/>
      <c r="K35" s="9"/>
      <c r="L35" s="26">
        <f>SUM(L3:L34)</f>
        <v>2230000</v>
      </c>
      <c r="M35" s="9"/>
      <c r="N35" s="9"/>
      <c r="O35" s="9"/>
      <c r="P35" s="9"/>
      <c r="Q35" s="9"/>
      <c r="R35" s="9"/>
      <c r="S35" s="9"/>
    </row>
    <row r="36">
      <c r="A36" s="9"/>
      <c r="B36" s="9"/>
      <c r="C36" s="52" t="s">
        <v>8</v>
      </c>
      <c r="D36" s="53">
        <v>2030000.0</v>
      </c>
      <c r="E36" s="53">
        <v>800000.0</v>
      </c>
      <c r="F36" s="53">
        <v>380000.0</v>
      </c>
      <c r="G36" s="53">
        <v>110000.0</v>
      </c>
      <c r="H36" s="53">
        <f>D36-E36-F36-G36</f>
        <v>740000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>
      <c r="A37" s="9"/>
      <c r="B37" s="1"/>
      <c r="C37" s="54" t="s">
        <v>36</v>
      </c>
      <c r="D37" s="55">
        <v>2230000.0</v>
      </c>
      <c r="E37" s="56">
        <v>990000.0</v>
      </c>
      <c r="F37" s="57">
        <v>330000.0</v>
      </c>
      <c r="G37" s="51">
        <v>110000.0</v>
      </c>
      <c r="H37" s="58">
        <v>800000.0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>
      <c r="A39" s="9"/>
      <c r="B39" s="9"/>
      <c r="C39" s="1"/>
      <c r="D39" s="1"/>
      <c r="E39" s="1"/>
      <c r="F39" s="1"/>
      <c r="G39" s="1"/>
      <c r="H39" s="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>
      <c r="A40" s="9"/>
      <c r="B40" s="1"/>
      <c r="C40" s="59" t="s">
        <v>37</v>
      </c>
      <c r="D40" s="53">
        <f t="shared" ref="D40:H40" si="2">D34-D37</f>
        <v>-898000</v>
      </c>
      <c r="E40" s="53">
        <f t="shared" si="2"/>
        <v>-395690</v>
      </c>
      <c r="F40" s="53">
        <f t="shared" si="2"/>
        <v>-142388</v>
      </c>
      <c r="G40" s="53">
        <f t="shared" si="2"/>
        <v>0</v>
      </c>
      <c r="H40" s="53">
        <f t="shared" si="2"/>
        <v>-359922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8.38"/>
    <col customWidth="1" min="15" max="15" width="86.88"/>
  </cols>
  <sheetData>
    <row r="1">
      <c r="A1" s="1"/>
      <c r="B1" s="2" t="s">
        <v>0</v>
      </c>
      <c r="C1" s="3" t="s">
        <v>38</v>
      </c>
      <c r="D1" s="3" t="s">
        <v>39</v>
      </c>
      <c r="E1" s="3" t="s">
        <v>40</v>
      </c>
      <c r="F1" s="3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3" t="s">
        <v>46</v>
      </c>
      <c r="L1" s="3" t="s">
        <v>47</v>
      </c>
      <c r="M1" s="2" t="s">
        <v>48</v>
      </c>
      <c r="N1" s="3" t="s">
        <v>49</v>
      </c>
      <c r="O1" s="2" t="s">
        <v>50</v>
      </c>
    </row>
    <row r="2">
      <c r="A2" s="10" t="s">
        <v>12</v>
      </c>
      <c r="B2" s="11">
        <v>44774.0</v>
      </c>
      <c r="C2" s="17">
        <v>1.0</v>
      </c>
      <c r="D2" s="17">
        <v>1.0</v>
      </c>
      <c r="E2" s="17">
        <v>1.0</v>
      </c>
      <c r="F2" s="60">
        <v>13.5</v>
      </c>
      <c r="G2" s="17">
        <v>1.0</v>
      </c>
      <c r="H2" s="17">
        <v>1.0</v>
      </c>
      <c r="I2" s="17">
        <v>1.0</v>
      </c>
      <c r="J2" s="17">
        <v>1.0</v>
      </c>
      <c r="K2" s="17">
        <v>1.0</v>
      </c>
      <c r="L2" s="17">
        <v>0.0</v>
      </c>
      <c r="M2" s="17">
        <v>1.0</v>
      </c>
      <c r="N2" s="17">
        <v>1.0</v>
      </c>
      <c r="O2" s="61" t="s">
        <v>51</v>
      </c>
    </row>
    <row r="3">
      <c r="A3" s="10" t="s">
        <v>13</v>
      </c>
      <c r="B3" s="11">
        <v>44775.0</v>
      </c>
      <c r="C3" s="17">
        <v>1.0</v>
      </c>
      <c r="D3" s="17">
        <v>1.0</v>
      </c>
      <c r="E3" s="10">
        <v>1.0</v>
      </c>
      <c r="F3" s="17">
        <v>0.0</v>
      </c>
      <c r="G3" s="17">
        <v>1.0</v>
      </c>
      <c r="H3" s="17">
        <v>0.0</v>
      </c>
      <c r="I3" s="17">
        <v>1.0</v>
      </c>
      <c r="J3" s="17">
        <v>1.0</v>
      </c>
      <c r="K3" s="17">
        <v>1.0</v>
      </c>
      <c r="L3" s="17">
        <v>0.5</v>
      </c>
      <c r="M3" s="17">
        <v>1.0</v>
      </c>
      <c r="N3" s="17">
        <v>0.0</v>
      </c>
      <c r="O3" s="62"/>
    </row>
    <row r="4">
      <c r="A4" s="10" t="s">
        <v>14</v>
      </c>
      <c r="B4" s="11">
        <v>44776.0</v>
      </c>
      <c r="C4" s="17">
        <v>1.0</v>
      </c>
      <c r="D4" s="17">
        <v>1.0</v>
      </c>
      <c r="E4" s="17">
        <v>1.0</v>
      </c>
      <c r="F4" s="17">
        <v>0.0</v>
      </c>
      <c r="G4" s="17">
        <v>1.0</v>
      </c>
      <c r="H4" s="17">
        <v>0.0</v>
      </c>
      <c r="I4" s="17">
        <v>1.0</v>
      </c>
      <c r="J4" s="17">
        <v>1.0</v>
      </c>
      <c r="K4" s="17">
        <v>0.0</v>
      </c>
      <c r="L4" s="17">
        <v>1.0</v>
      </c>
      <c r="M4" s="17">
        <v>1.0</v>
      </c>
      <c r="N4" s="17">
        <v>1.0</v>
      </c>
      <c r="O4" s="61" t="s">
        <v>52</v>
      </c>
    </row>
    <row r="5">
      <c r="A5" s="10" t="s">
        <v>17</v>
      </c>
      <c r="B5" s="11">
        <v>44777.0</v>
      </c>
      <c r="C5" s="63">
        <v>0.0</v>
      </c>
      <c r="D5" s="63">
        <v>1.0</v>
      </c>
      <c r="E5" s="63">
        <v>1.0</v>
      </c>
      <c r="F5" s="63">
        <v>0.0</v>
      </c>
      <c r="G5" s="63">
        <v>1.0</v>
      </c>
      <c r="H5" s="63">
        <v>0.0</v>
      </c>
      <c r="I5" s="63">
        <v>1.0</v>
      </c>
      <c r="J5" s="63">
        <v>1.0</v>
      </c>
      <c r="K5" s="63">
        <v>0.0</v>
      </c>
      <c r="L5" s="63">
        <v>1.0</v>
      </c>
      <c r="M5" s="63">
        <v>1.0</v>
      </c>
      <c r="N5" s="63">
        <v>1.0</v>
      </c>
      <c r="O5" s="62"/>
    </row>
    <row r="6">
      <c r="A6" s="64" t="s">
        <v>18</v>
      </c>
      <c r="B6" s="65">
        <v>44778.0</v>
      </c>
      <c r="C6" s="66">
        <v>2.0</v>
      </c>
      <c r="D6" s="66">
        <v>1.0</v>
      </c>
      <c r="E6" s="66">
        <v>0.0</v>
      </c>
      <c r="F6" s="66">
        <v>0.0</v>
      </c>
      <c r="G6" s="66">
        <v>1.0</v>
      </c>
      <c r="H6" s="66">
        <v>0.0</v>
      </c>
      <c r="I6" s="66">
        <v>1.0</v>
      </c>
      <c r="J6" s="66">
        <v>1.0</v>
      </c>
      <c r="K6" s="66">
        <v>0.0</v>
      </c>
      <c r="L6" s="67">
        <v>0.0</v>
      </c>
      <c r="M6" s="66">
        <v>1.0</v>
      </c>
      <c r="N6" s="66">
        <v>1.0</v>
      </c>
      <c r="O6" s="68"/>
    </row>
    <row r="7">
      <c r="A7" s="10" t="s">
        <v>20</v>
      </c>
      <c r="B7" s="11">
        <v>44779.0</v>
      </c>
      <c r="C7" s="63">
        <v>2.0</v>
      </c>
      <c r="D7" s="63">
        <v>1.0</v>
      </c>
      <c r="E7" s="63">
        <v>1.0</v>
      </c>
      <c r="F7" s="63">
        <v>0.0</v>
      </c>
      <c r="G7" s="69">
        <v>1.0</v>
      </c>
      <c r="H7" s="63">
        <v>0.0</v>
      </c>
      <c r="I7" s="63">
        <v>0.5</v>
      </c>
      <c r="J7" s="63">
        <v>2.0</v>
      </c>
      <c r="K7" s="63">
        <v>0.0</v>
      </c>
      <c r="L7" s="67">
        <v>0.0</v>
      </c>
      <c r="M7" s="63">
        <v>1.0</v>
      </c>
      <c r="N7" s="63">
        <v>0.5</v>
      </c>
      <c r="O7" s="62"/>
    </row>
    <row r="8">
      <c r="A8" s="10" t="s">
        <v>21</v>
      </c>
      <c r="B8" s="11">
        <v>44780.0</v>
      </c>
      <c r="C8" s="17">
        <v>1.0</v>
      </c>
      <c r="D8" s="17">
        <v>1.0</v>
      </c>
      <c r="E8" s="17">
        <v>2.0</v>
      </c>
      <c r="F8" s="17">
        <v>0.0</v>
      </c>
      <c r="G8" s="70">
        <v>0.0</v>
      </c>
      <c r="H8" s="17">
        <v>1.0</v>
      </c>
      <c r="I8" s="17">
        <v>1.0</v>
      </c>
      <c r="J8" s="17">
        <v>2.0</v>
      </c>
      <c r="K8" s="17">
        <v>0.0</v>
      </c>
      <c r="L8" s="71">
        <v>0.0</v>
      </c>
      <c r="M8" s="17">
        <v>1.0</v>
      </c>
      <c r="N8" s="17">
        <v>1.0</v>
      </c>
      <c r="O8" s="62"/>
    </row>
    <row r="9">
      <c r="A9" s="10" t="s">
        <v>12</v>
      </c>
      <c r="B9" s="11">
        <v>44781.0</v>
      </c>
      <c r="C9" s="63">
        <v>1.0</v>
      </c>
      <c r="D9" s="63">
        <v>1.0</v>
      </c>
      <c r="E9" s="63">
        <v>1.0</v>
      </c>
      <c r="F9" s="63">
        <v>0.0</v>
      </c>
      <c r="G9" s="69">
        <v>0.0</v>
      </c>
      <c r="H9" s="63">
        <v>1.0</v>
      </c>
      <c r="I9" s="63">
        <v>1.0</v>
      </c>
      <c r="J9" s="63">
        <v>1.0</v>
      </c>
      <c r="K9" s="63">
        <v>1.0</v>
      </c>
      <c r="L9" s="67">
        <v>0.0</v>
      </c>
      <c r="M9" s="63">
        <v>1.0</v>
      </c>
      <c r="N9" s="67">
        <v>0.0</v>
      </c>
      <c r="O9" s="62"/>
    </row>
    <row r="10">
      <c r="A10" s="10" t="s">
        <v>13</v>
      </c>
      <c r="B10" s="11">
        <v>44782.0</v>
      </c>
      <c r="C10" s="63">
        <v>0.0</v>
      </c>
      <c r="D10" s="63">
        <v>1.0</v>
      </c>
      <c r="E10" s="63">
        <v>1.0</v>
      </c>
      <c r="F10" s="63">
        <v>0.0</v>
      </c>
      <c r="G10" s="69">
        <v>0.0</v>
      </c>
      <c r="H10" s="63">
        <v>1.0</v>
      </c>
      <c r="I10" s="63">
        <v>1.0</v>
      </c>
      <c r="J10" s="63">
        <v>1.0</v>
      </c>
      <c r="K10" s="63">
        <v>1.0</v>
      </c>
      <c r="L10" s="67">
        <v>0.0</v>
      </c>
      <c r="M10" s="63">
        <v>0.0</v>
      </c>
      <c r="N10" s="67">
        <v>0.0</v>
      </c>
      <c r="O10" s="62"/>
    </row>
    <row r="11">
      <c r="A11" s="10" t="s">
        <v>14</v>
      </c>
      <c r="B11" s="11">
        <v>44783.0</v>
      </c>
      <c r="C11" s="72">
        <v>0.0</v>
      </c>
      <c r="D11" s="72">
        <v>1.0</v>
      </c>
      <c r="E11" s="72">
        <v>1.0</v>
      </c>
      <c r="F11" s="72">
        <v>0.0</v>
      </c>
      <c r="G11" s="73">
        <v>1.0</v>
      </c>
      <c r="H11" s="72">
        <v>1.0</v>
      </c>
      <c r="I11" s="72">
        <v>0.5</v>
      </c>
      <c r="J11" s="72">
        <v>1.0</v>
      </c>
      <c r="K11" s="72">
        <v>1.0</v>
      </c>
      <c r="L11" s="74">
        <v>0.0</v>
      </c>
      <c r="M11" s="72">
        <v>0.5</v>
      </c>
      <c r="N11" s="74">
        <v>0.0</v>
      </c>
      <c r="O11" s="62"/>
    </row>
    <row r="12">
      <c r="A12" s="10" t="s">
        <v>17</v>
      </c>
      <c r="B12" s="11">
        <v>44784.0</v>
      </c>
      <c r="C12" s="63">
        <v>0.0</v>
      </c>
      <c r="D12" s="63">
        <v>1.0</v>
      </c>
      <c r="E12" s="63">
        <v>1.0</v>
      </c>
      <c r="F12" s="63">
        <v>0.0</v>
      </c>
      <c r="G12" s="69">
        <v>1.0</v>
      </c>
      <c r="H12" s="63">
        <v>1.0</v>
      </c>
      <c r="I12" s="63">
        <v>0.0</v>
      </c>
      <c r="J12" s="63">
        <v>1.0</v>
      </c>
      <c r="K12" s="63">
        <v>1.0</v>
      </c>
      <c r="L12" s="67">
        <v>0.0</v>
      </c>
      <c r="M12" s="63">
        <v>0.5</v>
      </c>
      <c r="N12" s="67">
        <v>0.0</v>
      </c>
      <c r="O12" s="62"/>
    </row>
    <row r="13">
      <c r="A13" s="64" t="s">
        <v>18</v>
      </c>
      <c r="B13" s="65">
        <v>44785.0</v>
      </c>
      <c r="C13" s="66">
        <v>0.0</v>
      </c>
      <c r="D13" s="66">
        <v>1.0</v>
      </c>
      <c r="E13" s="66">
        <v>1.0</v>
      </c>
      <c r="F13" s="66">
        <v>0.0</v>
      </c>
      <c r="G13" s="66">
        <v>1.0</v>
      </c>
      <c r="H13" s="66">
        <v>1.0</v>
      </c>
      <c r="I13" s="66">
        <v>0.0</v>
      </c>
      <c r="J13" s="66">
        <v>1.0</v>
      </c>
      <c r="K13" s="66">
        <v>0.0</v>
      </c>
      <c r="L13" s="67">
        <v>0.0</v>
      </c>
      <c r="M13" s="66">
        <v>1.0</v>
      </c>
      <c r="N13" s="67">
        <v>0.0</v>
      </c>
      <c r="O13" s="68"/>
    </row>
    <row r="14">
      <c r="A14" s="10" t="s">
        <v>20</v>
      </c>
      <c r="B14" s="11">
        <v>44786.0</v>
      </c>
      <c r="C14" s="63">
        <v>0.0</v>
      </c>
      <c r="D14" s="63">
        <v>1.0</v>
      </c>
      <c r="E14" s="63">
        <v>1.0</v>
      </c>
      <c r="F14" s="63">
        <v>0.0</v>
      </c>
      <c r="G14" s="69">
        <v>1.0</v>
      </c>
      <c r="H14" s="63">
        <v>1.0</v>
      </c>
      <c r="I14" s="63">
        <v>0.0</v>
      </c>
      <c r="J14" s="63">
        <v>1.0</v>
      </c>
      <c r="K14" s="63">
        <v>1.0</v>
      </c>
      <c r="L14" s="67">
        <v>0.0</v>
      </c>
      <c r="M14" s="63">
        <v>1.0</v>
      </c>
      <c r="N14" s="67">
        <v>0.0</v>
      </c>
      <c r="O14" s="62"/>
    </row>
    <row r="15">
      <c r="A15" s="10" t="s">
        <v>21</v>
      </c>
      <c r="B15" s="11">
        <v>44787.0</v>
      </c>
      <c r="C15" s="63">
        <v>0.0</v>
      </c>
      <c r="D15" s="63">
        <v>1.0</v>
      </c>
      <c r="E15" s="63">
        <v>1.0</v>
      </c>
      <c r="F15" s="63">
        <v>0.0</v>
      </c>
      <c r="G15" s="69">
        <v>1.0</v>
      </c>
      <c r="H15" s="63">
        <v>1.0</v>
      </c>
      <c r="I15" s="63">
        <v>0.0</v>
      </c>
      <c r="J15" s="63">
        <v>1.0</v>
      </c>
      <c r="K15" s="63">
        <v>1.0</v>
      </c>
      <c r="L15" s="67">
        <v>0.0</v>
      </c>
      <c r="M15" s="63">
        <v>1.0</v>
      </c>
      <c r="N15" s="67">
        <v>0.0</v>
      </c>
      <c r="O15" s="62"/>
    </row>
    <row r="16">
      <c r="A16" s="10" t="s">
        <v>12</v>
      </c>
      <c r="B16" s="11">
        <v>44788.0</v>
      </c>
      <c r="C16" s="63">
        <v>0.0</v>
      </c>
      <c r="D16" s="63">
        <v>1.0</v>
      </c>
      <c r="E16" s="63">
        <v>1.0</v>
      </c>
      <c r="F16" s="63">
        <v>0.0</v>
      </c>
      <c r="G16" s="63">
        <v>1.0</v>
      </c>
      <c r="H16" s="63">
        <v>1.0</v>
      </c>
      <c r="I16" s="63">
        <v>0.0</v>
      </c>
      <c r="J16" s="63">
        <v>1.0</v>
      </c>
      <c r="K16" s="63">
        <v>1.0</v>
      </c>
      <c r="L16" s="63">
        <v>1.0</v>
      </c>
      <c r="M16" s="63">
        <v>1.0</v>
      </c>
      <c r="N16" s="67">
        <v>0.0</v>
      </c>
      <c r="O16" s="62"/>
    </row>
    <row r="17">
      <c r="A17" s="10" t="s">
        <v>13</v>
      </c>
      <c r="B17" s="11">
        <v>44789.0</v>
      </c>
      <c r="C17" s="75">
        <v>1.0</v>
      </c>
      <c r="D17" s="63">
        <v>1.0</v>
      </c>
      <c r="E17" s="75">
        <v>1.0</v>
      </c>
      <c r="F17" s="63">
        <v>0.0</v>
      </c>
      <c r="G17" s="75">
        <v>1.0</v>
      </c>
      <c r="H17" s="75">
        <v>1.0</v>
      </c>
      <c r="I17" s="75">
        <v>1.0</v>
      </c>
      <c r="J17" s="63">
        <v>1.0</v>
      </c>
      <c r="K17" s="63">
        <v>1.0</v>
      </c>
      <c r="L17" s="63">
        <v>1.0</v>
      </c>
      <c r="M17" s="75">
        <v>1.0</v>
      </c>
      <c r="N17" s="76">
        <v>0.0</v>
      </c>
      <c r="O17" s="61" t="s">
        <v>53</v>
      </c>
    </row>
    <row r="18">
      <c r="A18" s="10" t="s">
        <v>14</v>
      </c>
      <c r="B18" s="11">
        <v>44790.0</v>
      </c>
      <c r="C18" s="17">
        <v>0.0</v>
      </c>
      <c r="D18" s="17">
        <v>1.0</v>
      </c>
      <c r="E18" s="17">
        <v>1.0</v>
      </c>
      <c r="F18" s="17">
        <v>0.0</v>
      </c>
      <c r="G18" s="17">
        <v>1.0</v>
      </c>
      <c r="H18" s="17">
        <v>1.0</v>
      </c>
      <c r="I18" s="17">
        <v>0.0</v>
      </c>
      <c r="J18" s="17">
        <v>1.0</v>
      </c>
      <c r="K18" s="17">
        <v>1.0</v>
      </c>
      <c r="L18" s="17">
        <v>1.0</v>
      </c>
      <c r="M18" s="17">
        <v>1.0</v>
      </c>
      <c r="N18" s="71">
        <v>0.0</v>
      </c>
      <c r="O18" s="62"/>
    </row>
    <row r="19">
      <c r="A19" s="10" t="s">
        <v>17</v>
      </c>
      <c r="B19" s="11">
        <v>44791.0</v>
      </c>
      <c r="C19" s="10">
        <v>0.0</v>
      </c>
      <c r="D19" s="17">
        <v>1.0</v>
      </c>
      <c r="E19" s="17">
        <v>1.0</v>
      </c>
      <c r="F19" s="17">
        <v>0.0</v>
      </c>
      <c r="G19" s="17">
        <v>1.0</v>
      </c>
      <c r="H19" s="17">
        <v>1.0</v>
      </c>
      <c r="I19" s="17">
        <v>1.0</v>
      </c>
      <c r="J19" s="17">
        <v>1.0</v>
      </c>
      <c r="K19" s="17">
        <v>1.0</v>
      </c>
      <c r="L19" s="17">
        <v>1.0</v>
      </c>
      <c r="M19" s="10">
        <v>1.0</v>
      </c>
      <c r="N19" s="77">
        <v>0.0</v>
      </c>
      <c r="O19" s="62"/>
    </row>
    <row r="20">
      <c r="A20" s="64" t="s">
        <v>18</v>
      </c>
      <c r="B20" s="65">
        <v>44792.0</v>
      </c>
      <c r="C20" s="66">
        <v>0.0</v>
      </c>
      <c r="D20" s="66">
        <v>1.0</v>
      </c>
      <c r="E20" s="66">
        <v>1.0</v>
      </c>
      <c r="F20" s="66">
        <v>0.0</v>
      </c>
      <c r="G20" s="66">
        <v>1.0</v>
      </c>
      <c r="H20" s="66">
        <v>1.0</v>
      </c>
      <c r="I20" s="66">
        <v>0.0</v>
      </c>
      <c r="J20" s="66">
        <v>1.0</v>
      </c>
      <c r="K20" s="66">
        <v>1.0</v>
      </c>
      <c r="L20" s="66">
        <v>0.0</v>
      </c>
      <c r="M20" s="66">
        <v>1.0</v>
      </c>
      <c r="N20" s="71">
        <v>0.0</v>
      </c>
      <c r="O20" s="68"/>
    </row>
    <row r="21">
      <c r="A21" s="10" t="s">
        <v>20</v>
      </c>
      <c r="B21" s="11">
        <v>44793.0</v>
      </c>
      <c r="C21" s="63">
        <v>0.0</v>
      </c>
      <c r="D21" s="63">
        <v>1.0</v>
      </c>
      <c r="E21" s="63">
        <v>1.0</v>
      </c>
      <c r="F21" s="63">
        <v>0.0</v>
      </c>
      <c r="G21" s="63">
        <v>1.0</v>
      </c>
      <c r="H21" s="63">
        <v>1.0</v>
      </c>
      <c r="I21" s="63">
        <v>1.0</v>
      </c>
      <c r="J21" s="63">
        <v>1.0</v>
      </c>
      <c r="K21" s="63">
        <v>1.0</v>
      </c>
      <c r="L21" s="63">
        <v>1.0</v>
      </c>
      <c r="M21" s="63">
        <v>1.0</v>
      </c>
      <c r="N21" s="71">
        <v>0.0</v>
      </c>
      <c r="O21" s="62"/>
    </row>
    <row r="22">
      <c r="A22" s="10" t="s">
        <v>21</v>
      </c>
      <c r="B22" s="11">
        <v>44794.0</v>
      </c>
      <c r="C22" s="78">
        <v>0.0</v>
      </c>
      <c r="D22" s="78">
        <v>0.0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1">
        <v>0.0</v>
      </c>
      <c r="O22" s="62"/>
    </row>
    <row r="23">
      <c r="A23" s="10" t="s">
        <v>12</v>
      </c>
      <c r="B23" s="11">
        <v>44795.0</v>
      </c>
      <c r="C23" s="78">
        <v>0.0</v>
      </c>
      <c r="D23" s="78">
        <v>0.0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1">
        <v>0.0</v>
      </c>
      <c r="O23" s="62"/>
    </row>
    <row r="24">
      <c r="A24" s="10" t="s">
        <v>13</v>
      </c>
      <c r="B24" s="11">
        <v>44796.0</v>
      </c>
      <c r="C24" s="78">
        <v>0.0</v>
      </c>
      <c r="D24" s="78">
        <v>0.0</v>
      </c>
      <c r="E24" s="78">
        <v>0.0</v>
      </c>
      <c r="F24" s="78">
        <v>0.0</v>
      </c>
      <c r="G24" s="78">
        <v>0.0</v>
      </c>
      <c r="H24" s="78">
        <v>0.0</v>
      </c>
      <c r="I24" s="78">
        <v>0.0</v>
      </c>
      <c r="J24" s="78">
        <v>0.0</v>
      </c>
      <c r="K24" s="78">
        <v>0.0</v>
      </c>
      <c r="L24" s="78">
        <v>0.0</v>
      </c>
      <c r="M24" s="78">
        <v>0.0</v>
      </c>
      <c r="N24" s="71">
        <v>0.0</v>
      </c>
      <c r="O24" s="62"/>
    </row>
    <row r="25">
      <c r="A25" s="10" t="s">
        <v>14</v>
      </c>
      <c r="B25" s="11">
        <v>44797.0</v>
      </c>
      <c r="C25" s="78">
        <v>0.0</v>
      </c>
      <c r="D25" s="78">
        <v>0.0</v>
      </c>
      <c r="E25" s="78">
        <v>0.0</v>
      </c>
      <c r="F25" s="78">
        <v>0.0</v>
      </c>
      <c r="G25" s="78">
        <v>0.0</v>
      </c>
      <c r="H25" s="78">
        <v>0.0</v>
      </c>
      <c r="I25" s="78">
        <v>0.0</v>
      </c>
      <c r="J25" s="78">
        <v>0.0</v>
      </c>
      <c r="K25" s="78">
        <v>0.0</v>
      </c>
      <c r="L25" s="78">
        <v>0.0</v>
      </c>
      <c r="M25" s="78">
        <v>0.0</v>
      </c>
      <c r="N25" s="71">
        <v>0.0</v>
      </c>
      <c r="O25" s="62"/>
    </row>
    <row r="26">
      <c r="A26" s="10" t="s">
        <v>17</v>
      </c>
      <c r="B26" s="11">
        <v>44798.0</v>
      </c>
      <c r="C26" s="78">
        <v>0.0</v>
      </c>
      <c r="D26" s="78">
        <v>0.0</v>
      </c>
      <c r="E26" s="78">
        <v>0.0</v>
      </c>
      <c r="F26" s="78">
        <v>0.0</v>
      </c>
      <c r="G26" s="78">
        <v>0.0</v>
      </c>
      <c r="H26" s="78">
        <v>0.0</v>
      </c>
      <c r="I26" s="78">
        <v>0.0</v>
      </c>
      <c r="J26" s="78">
        <v>0.0</v>
      </c>
      <c r="K26" s="78">
        <v>0.0</v>
      </c>
      <c r="L26" s="78">
        <v>0.0</v>
      </c>
      <c r="M26" s="78">
        <v>0.0</v>
      </c>
      <c r="N26" s="71">
        <v>0.0</v>
      </c>
      <c r="O26" s="62"/>
    </row>
    <row r="27">
      <c r="A27" s="64" t="s">
        <v>18</v>
      </c>
      <c r="B27" s="65">
        <v>44799.0</v>
      </c>
      <c r="C27" s="78">
        <v>0.0</v>
      </c>
      <c r="D27" s="78">
        <v>0.0</v>
      </c>
      <c r="E27" s="79">
        <v>0.0</v>
      </c>
      <c r="F27" s="78">
        <v>0.0</v>
      </c>
      <c r="G27" s="78">
        <v>0.0</v>
      </c>
      <c r="H27" s="78">
        <v>0.0</v>
      </c>
      <c r="I27" s="78">
        <v>0.0</v>
      </c>
      <c r="J27" s="78">
        <v>0.0</v>
      </c>
      <c r="K27" s="78">
        <v>0.0</v>
      </c>
      <c r="L27" s="78">
        <v>0.0</v>
      </c>
      <c r="M27" s="78">
        <v>0.0</v>
      </c>
      <c r="N27" s="71">
        <v>0.0</v>
      </c>
      <c r="O27" s="68"/>
    </row>
    <row r="28">
      <c r="A28" s="10" t="s">
        <v>20</v>
      </c>
      <c r="B28" s="11">
        <v>44800.0</v>
      </c>
      <c r="C28" s="78">
        <v>0.0</v>
      </c>
      <c r="D28" s="78">
        <v>0.0</v>
      </c>
      <c r="E28" s="79">
        <v>0.0</v>
      </c>
      <c r="F28" s="78">
        <v>0.0</v>
      </c>
      <c r="G28" s="78">
        <v>0.0</v>
      </c>
      <c r="H28" s="78">
        <v>0.0</v>
      </c>
      <c r="I28" s="78">
        <v>0.0</v>
      </c>
      <c r="J28" s="78">
        <v>0.0</v>
      </c>
      <c r="K28" s="78">
        <v>0.0</v>
      </c>
      <c r="L28" s="78">
        <v>0.0</v>
      </c>
      <c r="M28" s="78">
        <v>0.0</v>
      </c>
      <c r="N28" s="71">
        <v>0.0</v>
      </c>
      <c r="O28" s="62"/>
    </row>
    <row r="29">
      <c r="A29" s="10" t="s">
        <v>21</v>
      </c>
      <c r="B29" s="11">
        <v>44801.0</v>
      </c>
      <c r="C29" s="78">
        <v>0.0</v>
      </c>
      <c r="D29" s="78">
        <v>0.0</v>
      </c>
      <c r="E29" s="78">
        <v>0.0</v>
      </c>
      <c r="F29" s="78">
        <v>0.0</v>
      </c>
      <c r="G29" s="78">
        <v>0.0</v>
      </c>
      <c r="H29" s="78">
        <v>0.0</v>
      </c>
      <c r="I29" s="78">
        <v>0.0</v>
      </c>
      <c r="J29" s="78">
        <v>0.0</v>
      </c>
      <c r="K29" s="78">
        <v>0.0</v>
      </c>
      <c r="L29" s="78">
        <v>0.0</v>
      </c>
      <c r="M29" s="78">
        <v>0.0</v>
      </c>
      <c r="N29" s="71">
        <v>0.0</v>
      </c>
      <c r="O29" s="62"/>
    </row>
    <row r="30">
      <c r="A30" s="10" t="s">
        <v>12</v>
      </c>
      <c r="B30" s="11">
        <v>44802.0</v>
      </c>
      <c r="C30" s="78">
        <v>0.0</v>
      </c>
      <c r="D30" s="78">
        <v>0.0</v>
      </c>
      <c r="E30" s="78">
        <v>0.0</v>
      </c>
      <c r="F30" s="78">
        <v>0.0</v>
      </c>
      <c r="G30" s="78">
        <v>0.0</v>
      </c>
      <c r="H30" s="78">
        <v>0.0</v>
      </c>
      <c r="I30" s="78">
        <v>0.0</v>
      </c>
      <c r="J30" s="78">
        <v>0.0</v>
      </c>
      <c r="K30" s="78">
        <v>0.0</v>
      </c>
      <c r="L30" s="78">
        <v>0.0</v>
      </c>
      <c r="M30" s="78">
        <v>0.0</v>
      </c>
      <c r="N30" s="71">
        <v>0.0</v>
      </c>
      <c r="O30" s="62"/>
    </row>
    <row r="31">
      <c r="A31" s="10" t="s">
        <v>13</v>
      </c>
      <c r="B31" s="11">
        <v>44803.0</v>
      </c>
      <c r="C31" s="78">
        <v>0.0</v>
      </c>
      <c r="D31" s="78">
        <v>0.0</v>
      </c>
      <c r="E31" s="78">
        <v>0.0</v>
      </c>
      <c r="F31" s="78">
        <v>0.0</v>
      </c>
      <c r="G31" s="78">
        <v>0.0</v>
      </c>
      <c r="H31" s="78">
        <v>0.0</v>
      </c>
      <c r="I31" s="78">
        <v>0.0</v>
      </c>
      <c r="J31" s="78">
        <v>0.0</v>
      </c>
      <c r="K31" s="78">
        <v>0.0</v>
      </c>
      <c r="L31" s="78">
        <v>0.0</v>
      </c>
      <c r="M31" s="78">
        <v>0.0</v>
      </c>
      <c r="N31" s="71">
        <v>0.0</v>
      </c>
      <c r="O31" s="80"/>
    </row>
    <row r="32">
      <c r="A32" s="10" t="s">
        <v>14</v>
      </c>
      <c r="B32" s="11">
        <v>44804.0</v>
      </c>
      <c r="C32" s="43">
        <v>0.0</v>
      </c>
      <c r="D32" s="43">
        <v>0.0</v>
      </c>
      <c r="E32" s="43">
        <v>0.0</v>
      </c>
      <c r="F32" s="43">
        <v>0.0</v>
      </c>
      <c r="G32" s="43">
        <v>0.0</v>
      </c>
      <c r="H32" s="43">
        <v>0.0</v>
      </c>
      <c r="I32" s="43">
        <v>0.0</v>
      </c>
      <c r="J32" s="43">
        <v>0.0</v>
      </c>
      <c r="K32" s="43">
        <v>0.0</v>
      </c>
      <c r="L32" s="43">
        <v>0.0</v>
      </c>
      <c r="M32" s="43">
        <v>0.0</v>
      </c>
      <c r="N32" s="43">
        <v>0.0</v>
      </c>
      <c r="O32" s="80"/>
    </row>
    <row r="33">
      <c r="A33" s="9"/>
      <c r="B33" s="1"/>
      <c r="C33" s="81">
        <f t="shared" ref="C33:N33" si="1">SUM(C2:C32)</f>
        <v>10</v>
      </c>
      <c r="D33" s="81">
        <f t="shared" si="1"/>
        <v>20</v>
      </c>
      <c r="E33" s="81">
        <f t="shared" si="1"/>
        <v>20</v>
      </c>
      <c r="F33" s="81">
        <f t="shared" si="1"/>
        <v>13.5</v>
      </c>
      <c r="G33" s="81">
        <f t="shared" si="1"/>
        <v>17</v>
      </c>
      <c r="H33" s="81">
        <f t="shared" si="1"/>
        <v>15</v>
      </c>
      <c r="I33" s="81">
        <f t="shared" si="1"/>
        <v>12</v>
      </c>
      <c r="J33" s="81">
        <f t="shared" si="1"/>
        <v>22</v>
      </c>
      <c r="K33" s="81">
        <f t="shared" si="1"/>
        <v>14</v>
      </c>
      <c r="L33" s="81">
        <f t="shared" si="1"/>
        <v>7.5</v>
      </c>
      <c r="M33" s="81">
        <f t="shared" si="1"/>
        <v>18</v>
      </c>
      <c r="N33" s="81">
        <f t="shared" si="1"/>
        <v>5.5</v>
      </c>
      <c r="O33" s="80"/>
    </row>
    <row r="34">
      <c r="A34" s="9"/>
      <c r="B34" s="1"/>
      <c r="C34" s="82">
        <v>1200.0</v>
      </c>
      <c r="D34" s="82">
        <v>1200.0</v>
      </c>
      <c r="E34" s="82">
        <v>1000.0</v>
      </c>
      <c r="F34" s="82">
        <v>1112.0</v>
      </c>
      <c r="G34" s="82">
        <v>1000.0</v>
      </c>
      <c r="H34" s="82">
        <v>1200.0</v>
      </c>
      <c r="I34" s="82">
        <v>1000.0</v>
      </c>
      <c r="J34" s="82">
        <v>1000.0</v>
      </c>
      <c r="K34" s="82">
        <v>1000.0</v>
      </c>
      <c r="L34" s="82">
        <v>1200.0</v>
      </c>
      <c r="M34" s="82">
        <v>1000.0</v>
      </c>
      <c r="N34" s="82">
        <v>1200.0</v>
      </c>
      <c r="O34" s="14"/>
    </row>
    <row r="35">
      <c r="A35" s="9"/>
      <c r="B35" s="1"/>
      <c r="C35" s="83">
        <f t="shared" ref="C35:N35" si="2">C34*C33</f>
        <v>12000</v>
      </c>
      <c r="D35" s="83">
        <f t="shared" si="2"/>
        <v>24000</v>
      </c>
      <c r="E35" s="83">
        <f t="shared" si="2"/>
        <v>20000</v>
      </c>
      <c r="F35" s="83">
        <f t="shared" si="2"/>
        <v>15012</v>
      </c>
      <c r="G35" s="83">
        <f t="shared" si="2"/>
        <v>17000</v>
      </c>
      <c r="H35" s="83">
        <f t="shared" si="2"/>
        <v>18000</v>
      </c>
      <c r="I35" s="83">
        <f t="shared" si="2"/>
        <v>12000</v>
      </c>
      <c r="J35" s="83">
        <f t="shared" si="2"/>
        <v>22000</v>
      </c>
      <c r="K35" s="83">
        <f t="shared" si="2"/>
        <v>14000</v>
      </c>
      <c r="L35" s="83">
        <f t="shared" si="2"/>
        <v>9000</v>
      </c>
      <c r="M35" s="83">
        <f t="shared" si="2"/>
        <v>18000</v>
      </c>
      <c r="N35" s="83">
        <f t="shared" si="2"/>
        <v>6600</v>
      </c>
      <c r="O35" s="49">
        <f>SUM(C35:N35)</f>
        <v>187612</v>
      </c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25"/>
    <col customWidth="1" min="4" max="4" width="25.5"/>
    <col customWidth="1" min="5" max="5" width="25.75"/>
    <col customWidth="1" min="6" max="7" width="25.5"/>
  </cols>
  <sheetData>
    <row r="2">
      <c r="C2" s="84" t="s">
        <v>54</v>
      </c>
      <c r="D2" s="84" t="s">
        <v>55</v>
      </c>
      <c r="E2" s="84" t="s">
        <v>56</v>
      </c>
      <c r="F2" s="84" t="s">
        <v>57</v>
      </c>
      <c r="G2" s="84" t="s">
        <v>58</v>
      </c>
    </row>
    <row r="3">
      <c r="C3" s="85" t="s">
        <v>59</v>
      </c>
      <c r="D3" s="85">
        <v>45.0</v>
      </c>
      <c r="E3" s="85">
        <v>140.0</v>
      </c>
      <c r="F3" s="21">
        <f t="shared" ref="F3:F18" si="1">E3*D3</f>
        <v>6300</v>
      </c>
      <c r="G3" s="86">
        <v>44774.0</v>
      </c>
    </row>
    <row r="4">
      <c r="C4" s="87" t="s">
        <v>60</v>
      </c>
      <c r="D4" s="28">
        <v>10.0</v>
      </c>
      <c r="E4" s="28">
        <v>1830.0</v>
      </c>
      <c r="F4" s="21">
        <f t="shared" si="1"/>
        <v>18300</v>
      </c>
      <c r="G4" s="88">
        <v>44774.0</v>
      </c>
    </row>
    <row r="5">
      <c r="C5" s="85" t="s">
        <v>61</v>
      </c>
      <c r="D5" s="85">
        <v>4.0</v>
      </c>
      <c r="E5" s="85">
        <v>250.0</v>
      </c>
      <c r="F5" s="21">
        <f t="shared" si="1"/>
        <v>1000</v>
      </c>
      <c r="G5" s="86">
        <v>44774.0</v>
      </c>
    </row>
    <row r="6">
      <c r="C6" s="85" t="s">
        <v>62</v>
      </c>
      <c r="D6" s="85">
        <v>4.0</v>
      </c>
      <c r="E6" s="85">
        <v>250.0</v>
      </c>
      <c r="F6" s="21">
        <f t="shared" si="1"/>
        <v>1000</v>
      </c>
      <c r="G6" s="86">
        <v>44774.0</v>
      </c>
    </row>
    <row r="7">
      <c r="C7" s="85" t="s">
        <v>63</v>
      </c>
      <c r="D7" s="85">
        <v>10.0</v>
      </c>
      <c r="E7" s="85">
        <v>35.0</v>
      </c>
      <c r="F7" s="21">
        <f t="shared" si="1"/>
        <v>350</v>
      </c>
      <c r="G7" s="86">
        <v>44774.0</v>
      </c>
    </row>
    <row r="8">
      <c r="C8" s="85" t="s">
        <v>64</v>
      </c>
      <c r="D8" s="85">
        <v>2.0</v>
      </c>
      <c r="E8" s="85">
        <v>300.0</v>
      </c>
      <c r="F8" s="21">
        <f t="shared" si="1"/>
        <v>600</v>
      </c>
      <c r="G8" s="86">
        <v>44774.0</v>
      </c>
    </row>
    <row r="9">
      <c r="C9" s="89" t="s">
        <v>65</v>
      </c>
      <c r="D9" s="89">
        <v>6.0</v>
      </c>
      <c r="E9" s="89">
        <v>505.0</v>
      </c>
      <c r="F9" s="21">
        <f t="shared" si="1"/>
        <v>3030</v>
      </c>
      <c r="G9" s="90">
        <v>44774.0</v>
      </c>
    </row>
    <row r="10">
      <c r="C10" s="89" t="s">
        <v>66</v>
      </c>
      <c r="D10" s="89">
        <v>1.0</v>
      </c>
      <c r="E10" s="89">
        <v>1400.0</v>
      </c>
      <c r="F10" s="21">
        <f t="shared" si="1"/>
        <v>1400</v>
      </c>
      <c r="G10" s="90">
        <v>44774.0</v>
      </c>
    </row>
    <row r="11">
      <c r="C11" s="89" t="s">
        <v>67</v>
      </c>
      <c r="D11" s="89">
        <v>1.0</v>
      </c>
      <c r="E11" s="89">
        <v>1800.0</v>
      </c>
      <c r="F11" s="21">
        <f t="shared" si="1"/>
        <v>1800</v>
      </c>
      <c r="G11" s="90">
        <v>44774.0</v>
      </c>
    </row>
    <row r="12">
      <c r="C12" s="89" t="s">
        <v>68</v>
      </c>
      <c r="D12" s="89">
        <v>1.0</v>
      </c>
      <c r="E12" s="89">
        <v>1750.0</v>
      </c>
      <c r="F12" s="21">
        <f t="shared" si="1"/>
        <v>1750</v>
      </c>
      <c r="G12" s="90">
        <v>44774.0</v>
      </c>
    </row>
    <row r="13">
      <c r="C13" s="89" t="s">
        <v>69</v>
      </c>
      <c r="D13" s="89">
        <v>1.0</v>
      </c>
      <c r="E13" s="89">
        <v>590.0</v>
      </c>
      <c r="F13" s="21">
        <f t="shared" si="1"/>
        <v>590</v>
      </c>
      <c r="G13" s="90">
        <v>44774.0</v>
      </c>
    </row>
    <row r="14">
      <c r="C14" s="89" t="s">
        <v>70</v>
      </c>
      <c r="D14" s="89">
        <v>1.0</v>
      </c>
      <c r="E14" s="89">
        <v>880.0</v>
      </c>
      <c r="F14" s="21">
        <f t="shared" si="1"/>
        <v>880</v>
      </c>
      <c r="G14" s="90">
        <v>44774.0</v>
      </c>
    </row>
    <row r="15">
      <c r="C15" s="89" t="s">
        <v>71</v>
      </c>
      <c r="D15" s="89">
        <v>3.0</v>
      </c>
      <c r="E15" s="89">
        <v>1250.0</v>
      </c>
      <c r="F15" s="21">
        <f t="shared" si="1"/>
        <v>3750</v>
      </c>
      <c r="G15" s="90">
        <v>44774.0</v>
      </c>
    </row>
    <row r="16">
      <c r="C16" s="91" t="s">
        <v>72</v>
      </c>
      <c r="D16" s="92">
        <v>9.0</v>
      </c>
      <c r="E16" s="93">
        <v>850.0</v>
      </c>
      <c r="F16" s="93">
        <f t="shared" si="1"/>
        <v>7650</v>
      </c>
      <c r="G16" s="94">
        <v>44743.0</v>
      </c>
    </row>
    <row r="17">
      <c r="C17" s="95" t="s">
        <v>73</v>
      </c>
      <c r="D17" s="92">
        <v>0.5</v>
      </c>
      <c r="E17" s="91">
        <v>4800.0</v>
      </c>
      <c r="F17" s="93">
        <f t="shared" si="1"/>
        <v>2400</v>
      </c>
      <c r="G17" s="94">
        <v>44743.0</v>
      </c>
    </row>
    <row r="18">
      <c r="C18" s="91" t="s">
        <v>74</v>
      </c>
      <c r="D18" s="92">
        <v>45.0</v>
      </c>
      <c r="E18" s="93">
        <v>650.0</v>
      </c>
      <c r="F18" s="93">
        <f t="shared" si="1"/>
        <v>29250</v>
      </c>
      <c r="G18" s="94">
        <v>44672.0</v>
      </c>
    </row>
    <row r="19">
      <c r="C19" s="95" t="s">
        <v>75</v>
      </c>
      <c r="D19" s="92">
        <v>20.0</v>
      </c>
      <c r="E19" s="93">
        <v>150.0</v>
      </c>
      <c r="F19" s="93">
        <f t="shared" ref="F19:F21" si="2">D19*E19</f>
        <v>3000</v>
      </c>
      <c r="G19" s="94">
        <v>44636.0</v>
      </c>
    </row>
    <row r="20">
      <c r="C20" s="87" t="s">
        <v>76</v>
      </c>
      <c r="D20" s="85">
        <v>26.0</v>
      </c>
      <c r="E20" s="21">
        <v>190.0</v>
      </c>
      <c r="F20" s="21">
        <f t="shared" si="2"/>
        <v>4940</v>
      </c>
      <c r="G20" s="96">
        <v>44735.0</v>
      </c>
    </row>
    <row r="21">
      <c r="C21" s="28" t="s">
        <v>77</v>
      </c>
      <c r="D21" s="28">
        <v>20.0</v>
      </c>
      <c r="E21" s="21">
        <v>200.0</v>
      </c>
      <c r="F21" s="21">
        <f t="shared" si="2"/>
        <v>4000</v>
      </c>
      <c r="G21" s="96">
        <v>44735.0</v>
      </c>
    </row>
    <row r="22">
      <c r="C22" s="28" t="s">
        <v>78</v>
      </c>
      <c r="D22" s="28">
        <v>2.0</v>
      </c>
      <c r="E22" s="21">
        <v>2200.0</v>
      </c>
      <c r="F22" s="21">
        <v>4400.0</v>
      </c>
      <c r="G22" s="96">
        <v>44735.0</v>
      </c>
    </row>
    <row r="23">
      <c r="C23" s="95" t="s">
        <v>79</v>
      </c>
      <c r="D23" s="92">
        <v>2.0</v>
      </c>
      <c r="E23" s="93">
        <v>1380.0</v>
      </c>
      <c r="F23" s="93">
        <f>E23*D23</f>
        <v>2760</v>
      </c>
      <c r="G23" s="94">
        <v>44641.0</v>
      </c>
    </row>
    <row r="24">
      <c r="C24" s="97" t="s">
        <v>80</v>
      </c>
      <c r="D24" s="13" t="s">
        <v>81</v>
      </c>
      <c r="E24" s="15">
        <v>175.0</v>
      </c>
      <c r="F24" s="15">
        <v>5000.0</v>
      </c>
      <c r="G24" s="98">
        <v>44648.0</v>
      </c>
    </row>
    <row r="25">
      <c r="C25" s="95" t="s">
        <v>82</v>
      </c>
      <c r="D25" s="92">
        <v>9.0</v>
      </c>
      <c r="E25" s="93">
        <v>3112.0</v>
      </c>
      <c r="F25" s="93">
        <f t="shared" ref="F25:F41" si="3">E25*D25</f>
        <v>28008</v>
      </c>
      <c r="G25" s="94">
        <v>44700.0</v>
      </c>
    </row>
    <row r="26">
      <c r="C26" s="91" t="s">
        <v>83</v>
      </c>
      <c r="D26" s="92">
        <v>14.0</v>
      </c>
      <c r="E26" s="93">
        <v>3440.0</v>
      </c>
      <c r="F26" s="93">
        <f t="shared" si="3"/>
        <v>48160</v>
      </c>
      <c r="G26" s="94">
        <v>44700.0</v>
      </c>
    </row>
    <row r="27">
      <c r="C27" s="91" t="s">
        <v>84</v>
      </c>
      <c r="D27" s="92">
        <v>18.0</v>
      </c>
      <c r="E27" s="93">
        <v>2988.0</v>
      </c>
      <c r="F27" s="93">
        <f t="shared" si="3"/>
        <v>53784</v>
      </c>
      <c r="G27" s="94">
        <v>44700.0</v>
      </c>
    </row>
    <row r="28">
      <c r="C28" s="95" t="s">
        <v>85</v>
      </c>
      <c r="D28" s="92">
        <v>10.0</v>
      </c>
      <c r="E28" s="91">
        <v>1100.0</v>
      </c>
      <c r="F28" s="93">
        <f t="shared" si="3"/>
        <v>11000</v>
      </c>
      <c r="G28" s="94">
        <v>44746.0</v>
      </c>
    </row>
    <row r="29">
      <c r="C29" s="87" t="s">
        <v>86</v>
      </c>
      <c r="D29" s="28">
        <v>27.0</v>
      </c>
      <c r="E29" s="28">
        <v>1150.0</v>
      </c>
      <c r="F29" s="21">
        <f t="shared" si="3"/>
        <v>31050</v>
      </c>
      <c r="G29" s="96">
        <v>44761.0</v>
      </c>
    </row>
    <row r="30">
      <c r="C30" s="99" t="s">
        <v>87</v>
      </c>
      <c r="D30" s="100">
        <v>36.0</v>
      </c>
      <c r="E30" s="100">
        <v>600.0</v>
      </c>
      <c r="F30" s="101">
        <f t="shared" si="3"/>
        <v>21600</v>
      </c>
      <c r="G30" s="102">
        <v>44768.0</v>
      </c>
    </row>
    <row r="31">
      <c r="C31" s="87" t="s">
        <v>88</v>
      </c>
      <c r="D31" s="28">
        <v>10.0</v>
      </c>
      <c r="E31" s="28">
        <v>100.0</v>
      </c>
      <c r="F31" s="21">
        <f t="shared" si="3"/>
        <v>1000</v>
      </c>
      <c r="G31" s="1"/>
    </row>
    <row r="32">
      <c r="C32" s="28" t="s">
        <v>89</v>
      </c>
      <c r="D32" s="28">
        <v>5.0</v>
      </c>
      <c r="E32" s="28">
        <v>630.0</v>
      </c>
      <c r="F32" s="21">
        <f t="shared" si="3"/>
        <v>3150</v>
      </c>
      <c r="G32" s="1"/>
    </row>
    <row r="33">
      <c r="C33" s="28" t="s">
        <v>90</v>
      </c>
      <c r="D33" s="28">
        <v>32.0</v>
      </c>
      <c r="E33" s="28">
        <v>100.0</v>
      </c>
      <c r="F33" s="21">
        <f t="shared" si="3"/>
        <v>3200</v>
      </c>
      <c r="G33" s="1"/>
    </row>
    <row r="34">
      <c r="C34" s="28" t="s">
        <v>91</v>
      </c>
      <c r="D34" s="28">
        <v>10.0</v>
      </c>
      <c r="E34" s="28">
        <v>200.0</v>
      </c>
      <c r="F34" s="21">
        <f t="shared" si="3"/>
        <v>2000</v>
      </c>
      <c r="G34" s="1"/>
    </row>
    <row r="35">
      <c r="C35" s="87" t="s">
        <v>92</v>
      </c>
      <c r="D35" s="28">
        <v>5.0</v>
      </c>
      <c r="E35" s="28">
        <v>100.0</v>
      </c>
      <c r="F35" s="21">
        <f t="shared" si="3"/>
        <v>500</v>
      </c>
      <c r="G35" s="96">
        <v>44766.0</v>
      </c>
    </row>
    <row r="36">
      <c r="C36" s="87" t="s">
        <v>93</v>
      </c>
      <c r="D36" s="28">
        <v>2.0</v>
      </c>
      <c r="E36" s="28">
        <v>200.0</v>
      </c>
      <c r="F36" s="21">
        <f t="shared" si="3"/>
        <v>400</v>
      </c>
      <c r="G36" s="96">
        <v>44766.0</v>
      </c>
    </row>
    <row r="37">
      <c r="C37" s="87" t="s">
        <v>94</v>
      </c>
      <c r="D37" s="28">
        <v>1.0</v>
      </c>
      <c r="E37" s="28">
        <v>800.0</v>
      </c>
      <c r="F37" s="21">
        <f t="shared" si="3"/>
        <v>800</v>
      </c>
      <c r="G37" s="96">
        <v>44763.0</v>
      </c>
    </row>
    <row r="38">
      <c r="C38" s="87" t="s">
        <v>95</v>
      </c>
      <c r="D38" s="28">
        <v>1.0</v>
      </c>
      <c r="E38" s="28">
        <v>1500.0</v>
      </c>
      <c r="F38" s="21">
        <f t="shared" si="3"/>
        <v>1500</v>
      </c>
      <c r="G38" s="96">
        <v>44761.0</v>
      </c>
    </row>
    <row r="39">
      <c r="C39" s="87" t="s">
        <v>96</v>
      </c>
      <c r="D39" s="28">
        <v>24.0</v>
      </c>
      <c r="E39" s="28">
        <v>325.0</v>
      </c>
      <c r="F39" s="21">
        <f t="shared" si="3"/>
        <v>7800</v>
      </c>
      <c r="G39" s="96">
        <v>44760.0</v>
      </c>
    </row>
    <row r="40">
      <c r="C40" s="28" t="s">
        <v>97</v>
      </c>
      <c r="D40" s="85">
        <v>10.0</v>
      </c>
      <c r="E40" s="28">
        <v>315.0</v>
      </c>
      <c r="F40" s="21">
        <f t="shared" si="3"/>
        <v>3150</v>
      </c>
      <c r="G40" s="96">
        <v>44760.0</v>
      </c>
    </row>
    <row r="41">
      <c r="C41" s="28" t="s">
        <v>98</v>
      </c>
      <c r="D41" s="85">
        <v>2.0</v>
      </c>
      <c r="E41" s="28">
        <v>2200.0</v>
      </c>
      <c r="F41" s="21">
        <f t="shared" si="3"/>
        <v>4400</v>
      </c>
      <c r="G41" s="96">
        <v>44760.0</v>
      </c>
    </row>
    <row r="42">
      <c r="C42" s="85" t="s">
        <v>99</v>
      </c>
      <c r="D42" s="85">
        <v>1.0</v>
      </c>
      <c r="E42" s="85">
        <v>2000.0</v>
      </c>
      <c r="F42" s="29">
        <v>2000.0</v>
      </c>
      <c r="G42" s="86">
        <v>44760.0</v>
      </c>
    </row>
    <row r="43">
      <c r="C43" s="28" t="s">
        <v>99</v>
      </c>
      <c r="D43" s="28">
        <v>5.0</v>
      </c>
      <c r="E43" s="28">
        <v>1880.0</v>
      </c>
      <c r="F43" s="21">
        <f t="shared" ref="F43:F60" si="4">E43*D43</f>
        <v>9400</v>
      </c>
      <c r="G43" s="96">
        <v>44760.0</v>
      </c>
    </row>
    <row r="44">
      <c r="C44" s="28" t="s">
        <v>100</v>
      </c>
      <c r="D44" s="85">
        <v>3.0</v>
      </c>
      <c r="E44" s="28">
        <v>1300.0</v>
      </c>
      <c r="F44" s="21">
        <f t="shared" si="4"/>
        <v>3900</v>
      </c>
      <c r="G44" s="96">
        <v>44760.0</v>
      </c>
    </row>
    <row r="45">
      <c r="C45" s="28" t="s">
        <v>101</v>
      </c>
      <c r="D45" s="28">
        <v>2.0</v>
      </c>
      <c r="E45" s="28">
        <v>1550.0</v>
      </c>
      <c r="F45" s="21">
        <f t="shared" si="4"/>
        <v>3100</v>
      </c>
      <c r="G45" s="96">
        <v>44760.0</v>
      </c>
    </row>
    <row r="46">
      <c r="C46" s="28" t="s">
        <v>102</v>
      </c>
      <c r="D46" s="28">
        <v>2.0</v>
      </c>
      <c r="E46" s="28">
        <v>1300.0</v>
      </c>
      <c r="F46" s="21">
        <f t="shared" si="4"/>
        <v>2600</v>
      </c>
      <c r="G46" s="96">
        <v>44760.0</v>
      </c>
    </row>
    <row r="47">
      <c r="C47" s="28" t="s">
        <v>103</v>
      </c>
      <c r="D47" s="85">
        <v>2.0</v>
      </c>
      <c r="E47" s="28">
        <v>1800.0</v>
      </c>
      <c r="F47" s="21">
        <f t="shared" si="4"/>
        <v>3600</v>
      </c>
      <c r="G47" s="96">
        <v>44760.0</v>
      </c>
    </row>
    <row r="48">
      <c r="C48" s="28" t="s">
        <v>104</v>
      </c>
      <c r="D48" s="28">
        <v>3.0</v>
      </c>
      <c r="E48" s="28">
        <v>2300.0</v>
      </c>
      <c r="F48" s="21">
        <f t="shared" si="4"/>
        <v>6900</v>
      </c>
      <c r="G48" s="96">
        <v>44760.0</v>
      </c>
    </row>
    <row r="49">
      <c r="C49" s="28" t="s">
        <v>105</v>
      </c>
      <c r="D49" s="28">
        <v>2.0</v>
      </c>
      <c r="E49" s="28">
        <v>1800.0</v>
      </c>
      <c r="F49" s="21">
        <f t="shared" si="4"/>
        <v>3600</v>
      </c>
      <c r="G49" s="96">
        <v>44760.0</v>
      </c>
    </row>
    <row r="50">
      <c r="C50" s="28" t="s">
        <v>106</v>
      </c>
      <c r="D50" s="28">
        <v>2.0</v>
      </c>
      <c r="E50" s="28">
        <v>1130.0</v>
      </c>
      <c r="F50" s="21">
        <f t="shared" si="4"/>
        <v>2260</v>
      </c>
      <c r="G50" s="96">
        <v>44760.0</v>
      </c>
    </row>
    <row r="51">
      <c r="C51" s="28" t="s">
        <v>107</v>
      </c>
      <c r="D51" s="28">
        <v>10.0</v>
      </c>
      <c r="E51" s="28">
        <v>65.0</v>
      </c>
      <c r="F51" s="21">
        <f t="shared" si="4"/>
        <v>650</v>
      </c>
      <c r="G51" s="96">
        <v>44761.0</v>
      </c>
    </row>
    <row r="52">
      <c r="C52" s="87" t="s">
        <v>108</v>
      </c>
      <c r="D52" s="28">
        <v>1.0</v>
      </c>
      <c r="E52" s="28">
        <v>2100.0</v>
      </c>
      <c r="F52" s="21">
        <f t="shared" si="4"/>
        <v>2100</v>
      </c>
      <c r="G52" s="96">
        <v>44760.0</v>
      </c>
    </row>
    <row r="53">
      <c r="C53" s="28" t="s">
        <v>109</v>
      </c>
      <c r="D53" s="28">
        <v>1.0</v>
      </c>
      <c r="E53" s="28">
        <v>1800.0</v>
      </c>
      <c r="F53" s="21">
        <f t="shared" si="4"/>
        <v>1800</v>
      </c>
      <c r="G53" s="96">
        <v>44760.0</v>
      </c>
    </row>
    <row r="54">
      <c r="C54" s="103" t="s">
        <v>110</v>
      </c>
      <c r="D54" s="28">
        <v>2.0</v>
      </c>
      <c r="E54" s="28">
        <v>560.0</v>
      </c>
      <c r="F54" s="21">
        <f t="shared" si="4"/>
        <v>1120</v>
      </c>
      <c r="G54" s="96">
        <v>44759.0</v>
      </c>
    </row>
    <row r="55">
      <c r="C55" s="87" t="s">
        <v>111</v>
      </c>
      <c r="D55" s="28">
        <v>1.0</v>
      </c>
      <c r="E55" s="28">
        <v>1900.0</v>
      </c>
      <c r="F55" s="21">
        <f t="shared" si="4"/>
        <v>1900</v>
      </c>
      <c r="G55" s="96">
        <v>44759.0</v>
      </c>
    </row>
    <row r="56">
      <c r="C56" s="104" t="s">
        <v>112</v>
      </c>
      <c r="D56" s="105">
        <v>500.0</v>
      </c>
      <c r="E56" s="105">
        <v>50.0</v>
      </c>
      <c r="F56" s="106">
        <f t="shared" si="4"/>
        <v>25000</v>
      </c>
      <c r="G56" s="107">
        <v>44774.0</v>
      </c>
    </row>
    <row r="57">
      <c r="C57" s="104" t="s">
        <v>113</v>
      </c>
      <c r="D57" s="105">
        <v>1.0</v>
      </c>
      <c r="E57" s="105">
        <v>480.0</v>
      </c>
      <c r="F57" s="106">
        <f t="shared" si="4"/>
        <v>480</v>
      </c>
      <c r="G57" s="107">
        <v>44774.0</v>
      </c>
    </row>
    <row r="58">
      <c r="C58" s="104" t="s">
        <v>114</v>
      </c>
      <c r="D58" s="105">
        <v>1.0</v>
      </c>
      <c r="E58" s="105">
        <v>800.0</v>
      </c>
      <c r="F58" s="106">
        <f t="shared" si="4"/>
        <v>800</v>
      </c>
      <c r="G58" s="107">
        <v>44774.0</v>
      </c>
    </row>
    <row r="59">
      <c r="C59" s="104" t="s">
        <v>115</v>
      </c>
      <c r="D59" s="105">
        <v>2.0</v>
      </c>
      <c r="E59" s="105">
        <v>300.0</v>
      </c>
      <c r="F59" s="106">
        <f t="shared" si="4"/>
        <v>600</v>
      </c>
      <c r="G59" s="107">
        <v>44774.0</v>
      </c>
    </row>
    <row r="60">
      <c r="C60" s="85" t="s">
        <v>116</v>
      </c>
      <c r="D60" s="108">
        <v>1.0</v>
      </c>
      <c r="E60" s="108">
        <v>240.0</v>
      </c>
      <c r="F60" s="109">
        <f t="shared" si="4"/>
        <v>240</v>
      </c>
      <c r="G60" s="110">
        <v>44774.0</v>
      </c>
    </row>
    <row r="61">
      <c r="C61" s="111" t="s">
        <v>117</v>
      </c>
      <c r="D61" s="45" t="s">
        <v>118</v>
      </c>
      <c r="E61" s="45">
        <v>1100.0</v>
      </c>
      <c r="F61" s="112">
        <v>5500.0</v>
      </c>
      <c r="G61" s="113">
        <v>44743.0</v>
      </c>
    </row>
    <row r="62">
      <c r="C62" s="87" t="s">
        <v>119</v>
      </c>
      <c r="D62" s="28">
        <v>40.0</v>
      </c>
      <c r="E62" s="28">
        <v>75.0</v>
      </c>
      <c r="F62" s="21">
        <f t="shared" ref="F62:F76" si="5">E62*D62</f>
        <v>3000</v>
      </c>
      <c r="G62" s="1"/>
    </row>
    <row r="63">
      <c r="C63" s="87" t="s">
        <v>120</v>
      </c>
      <c r="D63" s="85">
        <v>2.0</v>
      </c>
      <c r="E63" s="28">
        <v>260.0</v>
      </c>
      <c r="F63" s="21">
        <f t="shared" si="5"/>
        <v>520</v>
      </c>
      <c r="G63" s="96">
        <v>44761.0</v>
      </c>
    </row>
    <row r="64">
      <c r="C64" s="87" t="s">
        <v>121</v>
      </c>
      <c r="D64" s="28">
        <v>1.0</v>
      </c>
      <c r="E64" s="28">
        <v>1100.0</v>
      </c>
      <c r="F64" s="21">
        <f t="shared" si="5"/>
        <v>1100</v>
      </c>
      <c r="G64" s="96">
        <v>44759.0</v>
      </c>
    </row>
    <row r="65">
      <c r="C65" s="87" t="s">
        <v>122</v>
      </c>
      <c r="D65" s="28">
        <v>1.0</v>
      </c>
      <c r="E65" s="28">
        <v>450.0</v>
      </c>
      <c r="F65" s="21">
        <f t="shared" si="5"/>
        <v>450</v>
      </c>
      <c r="G65" s="96">
        <v>44759.0</v>
      </c>
    </row>
    <row r="66">
      <c r="C66" s="28" t="s">
        <v>123</v>
      </c>
      <c r="D66" s="28">
        <v>4.0</v>
      </c>
      <c r="E66" s="28">
        <v>770.0</v>
      </c>
      <c r="F66" s="21">
        <f t="shared" si="5"/>
        <v>3080</v>
      </c>
      <c r="G66" s="96">
        <v>44759.0</v>
      </c>
    </row>
    <row r="67">
      <c r="C67" s="103" t="s">
        <v>124</v>
      </c>
      <c r="D67" s="28">
        <v>3.0</v>
      </c>
      <c r="E67" s="28">
        <v>630.0</v>
      </c>
      <c r="F67" s="21">
        <f t="shared" si="5"/>
        <v>1890</v>
      </c>
      <c r="G67" s="96">
        <v>44759.0</v>
      </c>
    </row>
    <row r="68">
      <c r="C68" s="87" t="s">
        <v>125</v>
      </c>
      <c r="D68" s="85">
        <v>10.0</v>
      </c>
      <c r="E68" s="28">
        <v>140.0</v>
      </c>
      <c r="F68" s="21">
        <f t="shared" si="5"/>
        <v>1400</v>
      </c>
      <c r="G68" s="96">
        <v>44759.0</v>
      </c>
    </row>
    <row r="69">
      <c r="C69" s="87" t="s">
        <v>126</v>
      </c>
      <c r="D69" s="28">
        <v>12.0</v>
      </c>
      <c r="E69" s="28">
        <v>200.0</v>
      </c>
      <c r="F69" s="21">
        <f t="shared" si="5"/>
        <v>2400</v>
      </c>
      <c r="G69" s="96">
        <v>44759.0</v>
      </c>
    </row>
    <row r="70">
      <c r="C70" s="87" t="s">
        <v>127</v>
      </c>
      <c r="D70" s="28">
        <v>1.0</v>
      </c>
      <c r="E70" s="28">
        <v>700.0</v>
      </c>
      <c r="F70" s="21">
        <f t="shared" si="5"/>
        <v>700</v>
      </c>
      <c r="G70" s="96">
        <v>44759.0</v>
      </c>
    </row>
    <row r="71">
      <c r="C71" s="28" t="s">
        <v>128</v>
      </c>
      <c r="D71" s="28">
        <v>2.0</v>
      </c>
      <c r="E71" s="28">
        <v>390.0</v>
      </c>
      <c r="F71" s="21">
        <f t="shared" si="5"/>
        <v>780</v>
      </c>
      <c r="G71" s="96">
        <v>44759.0</v>
      </c>
    </row>
    <row r="72">
      <c r="C72" s="87" t="s">
        <v>129</v>
      </c>
      <c r="D72" s="28">
        <v>12.0</v>
      </c>
      <c r="E72" s="28">
        <v>200.0</v>
      </c>
      <c r="F72" s="21">
        <f t="shared" si="5"/>
        <v>2400</v>
      </c>
      <c r="G72" s="96">
        <v>44759.0</v>
      </c>
    </row>
    <row r="73">
      <c r="C73" s="28" t="s">
        <v>130</v>
      </c>
      <c r="D73" s="85">
        <v>51.0</v>
      </c>
      <c r="E73" s="28">
        <v>350.0</v>
      </c>
      <c r="F73" s="21">
        <f t="shared" si="5"/>
        <v>17850</v>
      </c>
      <c r="G73" s="96">
        <v>44759.0</v>
      </c>
    </row>
    <row r="74">
      <c r="C74" s="28" t="s">
        <v>131</v>
      </c>
      <c r="D74" s="28">
        <v>12.0</v>
      </c>
      <c r="E74" s="28">
        <v>63.0</v>
      </c>
      <c r="F74" s="21">
        <f t="shared" si="5"/>
        <v>756</v>
      </c>
      <c r="G74" s="96">
        <v>44759.0</v>
      </c>
    </row>
    <row r="75">
      <c r="C75" s="87" t="s">
        <v>132</v>
      </c>
      <c r="D75" s="28">
        <v>12.0</v>
      </c>
      <c r="E75" s="28">
        <v>115.0</v>
      </c>
      <c r="F75" s="21">
        <f t="shared" si="5"/>
        <v>1380</v>
      </c>
      <c r="G75" s="96">
        <v>44759.0</v>
      </c>
    </row>
    <row r="76">
      <c r="C76" s="28" t="s">
        <v>133</v>
      </c>
      <c r="D76" s="28">
        <v>32.0</v>
      </c>
      <c r="E76" s="28">
        <v>230.0</v>
      </c>
      <c r="F76" s="21">
        <f t="shared" si="5"/>
        <v>7360</v>
      </c>
      <c r="G76" s="96">
        <v>44759.0</v>
      </c>
    </row>
    <row r="77">
      <c r="C77" s="28" t="s">
        <v>134</v>
      </c>
      <c r="D77" s="28" t="s">
        <v>135</v>
      </c>
      <c r="E77" s="21">
        <v>365.0</v>
      </c>
      <c r="F77" s="21">
        <v>14600.0</v>
      </c>
      <c r="G77" s="96">
        <v>44693.0</v>
      </c>
    </row>
    <row r="78">
      <c r="C78" s="87" t="s">
        <v>136</v>
      </c>
      <c r="D78" s="85">
        <v>5.0</v>
      </c>
      <c r="E78" s="21">
        <v>130.0</v>
      </c>
      <c r="F78" s="21">
        <f>E78*D78</f>
        <v>650</v>
      </c>
      <c r="G78" s="96">
        <v>44721.0</v>
      </c>
    </row>
    <row r="79">
      <c r="C79" s="87" t="s">
        <v>137</v>
      </c>
      <c r="D79" s="85">
        <v>5.0</v>
      </c>
      <c r="E79" s="21">
        <v>1930.0</v>
      </c>
      <c r="F79" s="21">
        <v>11580.0</v>
      </c>
      <c r="G79" s="96">
        <v>44734.0</v>
      </c>
    </row>
    <row r="80">
      <c r="C80" s="85" t="s">
        <v>138</v>
      </c>
      <c r="D80" s="105">
        <v>5.0</v>
      </c>
      <c r="E80" s="105">
        <v>620.0</v>
      </c>
      <c r="F80" s="114">
        <v>3100.0</v>
      </c>
      <c r="G80" s="107">
        <v>44774.0</v>
      </c>
    </row>
    <row r="81">
      <c r="C81" s="85" t="s">
        <v>131</v>
      </c>
      <c r="D81" s="105">
        <v>12.0</v>
      </c>
      <c r="E81" s="105">
        <v>65.0</v>
      </c>
      <c r="F81" s="106">
        <f t="shared" ref="F81:F99" si="6">D81*E81</f>
        <v>780</v>
      </c>
      <c r="G81" s="107">
        <v>44774.0</v>
      </c>
    </row>
    <row r="82">
      <c r="C82" s="85" t="s">
        <v>139</v>
      </c>
      <c r="D82" s="105">
        <v>12.0</v>
      </c>
      <c r="E82" s="105">
        <v>190.0</v>
      </c>
      <c r="F82" s="106">
        <f t="shared" si="6"/>
        <v>2280</v>
      </c>
      <c r="G82" s="107">
        <v>44774.0</v>
      </c>
    </row>
    <row r="83">
      <c r="C83" s="85" t="s">
        <v>126</v>
      </c>
      <c r="D83" s="105">
        <v>12.0</v>
      </c>
      <c r="E83" s="105">
        <v>200.0</v>
      </c>
      <c r="F83" s="106">
        <f t="shared" si="6"/>
        <v>2400</v>
      </c>
      <c r="G83" s="107">
        <v>44774.0</v>
      </c>
    </row>
    <row r="84">
      <c r="C84" s="85" t="s">
        <v>140</v>
      </c>
      <c r="D84" s="105">
        <v>4.0</v>
      </c>
      <c r="E84" s="105">
        <v>110.0</v>
      </c>
      <c r="F84" s="106">
        <f t="shared" si="6"/>
        <v>440</v>
      </c>
      <c r="G84" s="107">
        <v>44774.0</v>
      </c>
    </row>
    <row r="85">
      <c r="C85" s="85" t="s">
        <v>141</v>
      </c>
      <c r="D85" s="105">
        <v>1.0</v>
      </c>
      <c r="E85" s="105">
        <v>1570.0</v>
      </c>
      <c r="F85" s="106">
        <f t="shared" si="6"/>
        <v>1570</v>
      </c>
      <c r="G85" s="107">
        <v>44774.0</v>
      </c>
    </row>
    <row r="86">
      <c r="C86" s="85" t="s">
        <v>113</v>
      </c>
      <c r="D86" s="105">
        <v>5.0</v>
      </c>
      <c r="E86" s="105">
        <v>450.0</v>
      </c>
      <c r="F86" s="106">
        <f t="shared" si="6"/>
        <v>2250</v>
      </c>
      <c r="G86" s="107">
        <v>44774.0</v>
      </c>
    </row>
    <row r="87">
      <c r="C87" s="85" t="s">
        <v>142</v>
      </c>
      <c r="D87" s="105">
        <v>5.0</v>
      </c>
      <c r="E87" s="105">
        <v>250.0</v>
      </c>
      <c r="F87" s="106">
        <f t="shared" si="6"/>
        <v>1250</v>
      </c>
      <c r="G87" s="107">
        <v>44775.0</v>
      </c>
    </row>
    <row r="88">
      <c r="C88" s="85" t="s">
        <v>143</v>
      </c>
      <c r="D88" s="105">
        <v>20.0</v>
      </c>
      <c r="E88" s="105">
        <v>50.0</v>
      </c>
      <c r="F88" s="106">
        <f t="shared" si="6"/>
        <v>1000</v>
      </c>
      <c r="G88" s="107">
        <v>44774.0</v>
      </c>
    </row>
    <row r="89">
      <c r="C89" s="85" t="s">
        <v>107</v>
      </c>
      <c r="D89" s="105">
        <v>10.0</v>
      </c>
      <c r="E89" s="105">
        <v>75.0</v>
      </c>
      <c r="F89" s="106">
        <f t="shared" si="6"/>
        <v>750</v>
      </c>
      <c r="G89" s="107">
        <v>44774.0</v>
      </c>
    </row>
    <row r="90">
      <c r="C90" s="85" t="s">
        <v>144</v>
      </c>
      <c r="D90" s="105">
        <v>2.0</v>
      </c>
      <c r="E90" s="105">
        <v>850.0</v>
      </c>
      <c r="F90" s="106">
        <f t="shared" si="6"/>
        <v>1700</v>
      </c>
      <c r="G90" s="107">
        <v>44774.0</v>
      </c>
    </row>
    <row r="91">
      <c r="C91" s="85" t="s">
        <v>145</v>
      </c>
      <c r="D91" s="105">
        <v>5.0</v>
      </c>
      <c r="E91" s="105">
        <v>50.0</v>
      </c>
      <c r="F91" s="106">
        <f t="shared" si="6"/>
        <v>250</v>
      </c>
      <c r="G91" s="107">
        <v>44774.0</v>
      </c>
    </row>
    <row r="92">
      <c r="C92" s="85" t="s">
        <v>146</v>
      </c>
      <c r="D92" s="105">
        <v>4.0</v>
      </c>
      <c r="E92" s="105">
        <v>100.0</v>
      </c>
      <c r="F92" s="106">
        <f t="shared" si="6"/>
        <v>400</v>
      </c>
      <c r="G92" s="107">
        <v>44774.0</v>
      </c>
    </row>
    <row r="93">
      <c r="C93" s="85" t="s">
        <v>147</v>
      </c>
      <c r="D93" s="105">
        <v>3.0</v>
      </c>
      <c r="E93" s="105">
        <v>100.0</v>
      </c>
      <c r="F93" s="106">
        <f t="shared" si="6"/>
        <v>300</v>
      </c>
      <c r="G93" s="107">
        <v>44774.0</v>
      </c>
    </row>
    <row r="94">
      <c r="C94" s="85" t="s">
        <v>148</v>
      </c>
      <c r="D94" s="105">
        <v>5.0</v>
      </c>
      <c r="E94" s="105">
        <v>100.0</v>
      </c>
      <c r="F94" s="106">
        <f t="shared" si="6"/>
        <v>500</v>
      </c>
      <c r="G94" s="107">
        <v>44774.0</v>
      </c>
    </row>
    <row r="95">
      <c r="C95" s="85" t="s">
        <v>149</v>
      </c>
      <c r="D95" s="105">
        <v>2.0</v>
      </c>
      <c r="E95" s="105">
        <v>150.0</v>
      </c>
      <c r="F95" s="106">
        <f t="shared" si="6"/>
        <v>300</v>
      </c>
      <c r="G95" s="107">
        <v>44774.0</v>
      </c>
    </row>
    <row r="96">
      <c r="C96" s="85" t="s">
        <v>93</v>
      </c>
      <c r="D96" s="105">
        <v>3.0</v>
      </c>
      <c r="E96" s="105">
        <v>150.0</v>
      </c>
      <c r="F96" s="106">
        <f t="shared" si="6"/>
        <v>450</v>
      </c>
      <c r="G96" s="107">
        <v>44774.0</v>
      </c>
    </row>
    <row r="97">
      <c r="C97" s="85" t="s">
        <v>150</v>
      </c>
      <c r="D97" s="105">
        <v>1.0</v>
      </c>
      <c r="E97" s="105">
        <v>1000.0</v>
      </c>
      <c r="F97" s="106">
        <f t="shared" si="6"/>
        <v>1000</v>
      </c>
      <c r="G97" s="107">
        <v>44774.0</v>
      </c>
    </row>
    <row r="98">
      <c r="C98" s="85" t="s">
        <v>151</v>
      </c>
      <c r="D98" s="105">
        <v>1.0</v>
      </c>
      <c r="E98" s="105">
        <v>50.0</v>
      </c>
      <c r="F98" s="106">
        <f t="shared" si="6"/>
        <v>50</v>
      </c>
      <c r="G98" s="107">
        <v>44774.0</v>
      </c>
    </row>
    <row r="99">
      <c r="C99" s="85" t="s">
        <v>152</v>
      </c>
      <c r="D99" s="105">
        <v>1.0</v>
      </c>
      <c r="E99" s="105">
        <v>750.0</v>
      </c>
      <c r="F99" s="106">
        <f t="shared" si="6"/>
        <v>750</v>
      </c>
      <c r="G99" s="107">
        <v>44774.0</v>
      </c>
    </row>
    <row r="100">
      <c r="C100" s="85" t="s">
        <v>153</v>
      </c>
      <c r="D100" s="105">
        <v>1.0</v>
      </c>
      <c r="E100" s="105">
        <v>2400.0</v>
      </c>
      <c r="F100" s="106">
        <f t="shared" ref="F100:F158" si="7">E100*D100</f>
        <v>2400</v>
      </c>
      <c r="G100" s="107">
        <v>44774.0</v>
      </c>
    </row>
    <row r="101">
      <c r="C101" s="85" t="s">
        <v>154</v>
      </c>
      <c r="D101" s="105">
        <v>15.0</v>
      </c>
      <c r="E101" s="105">
        <v>100.0</v>
      </c>
      <c r="F101" s="106">
        <f t="shared" si="7"/>
        <v>1500</v>
      </c>
      <c r="G101" s="107">
        <v>44774.0</v>
      </c>
    </row>
    <row r="102">
      <c r="C102" s="104" t="s">
        <v>155</v>
      </c>
      <c r="D102" s="105">
        <v>1.0</v>
      </c>
      <c r="E102" s="105">
        <v>900.0</v>
      </c>
      <c r="F102" s="106">
        <f t="shared" si="7"/>
        <v>900</v>
      </c>
      <c r="G102" s="107">
        <v>44774.0</v>
      </c>
    </row>
    <row r="103">
      <c r="C103" s="104" t="s">
        <v>156</v>
      </c>
      <c r="D103" s="105">
        <v>1.0</v>
      </c>
      <c r="E103" s="105">
        <v>2200.0</v>
      </c>
      <c r="F103" s="106">
        <f t="shared" si="7"/>
        <v>2200</v>
      </c>
      <c r="G103" s="107">
        <v>44774.0</v>
      </c>
    </row>
    <row r="104">
      <c r="C104" s="104" t="s">
        <v>148</v>
      </c>
      <c r="D104" s="105">
        <v>20.0</v>
      </c>
      <c r="E104" s="105">
        <v>120.0</v>
      </c>
      <c r="F104" s="106">
        <f t="shared" si="7"/>
        <v>2400</v>
      </c>
      <c r="G104" s="107">
        <v>44775.0</v>
      </c>
    </row>
    <row r="105">
      <c r="C105" s="104" t="s">
        <v>114</v>
      </c>
      <c r="D105" s="105">
        <v>1.0</v>
      </c>
      <c r="E105" s="105">
        <v>850.0</v>
      </c>
      <c r="F105" s="106">
        <f t="shared" si="7"/>
        <v>850</v>
      </c>
      <c r="G105" s="107">
        <v>44775.0</v>
      </c>
    </row>
    <row r="106">
      <c r="C106" s="104" t="s">
        <v>107</v>
      </c>
      <c r="D106" s="105">
        <v>5.0</v>
      </c>
      <c r="E106" s="105">
        <v>100.0</v>
      </c>
      <c r="F106" s="106">
        <f t="shared" si="7"/>
        <v>500</v>
      </c>
      <c r="G106" s="107">
        <v>44775.0</v>
      </c>
    </row>
    <row r="107">
      <c r="C107" s="104" t="s">
        <v>144</v>
      </c>
      <c r="D107" s="105">
        <v>2.0</v>
      </c>
      <c r="E107" s="105">
        <v>900.0</v>
      </c>
      <c r="F107" s="106">
        <f t="shared" si="7"/>
        <v>1800</v>
      </c>
      <c r="G107" s="107">
        <v>44775.0</v>
      </c>
    </row>
    <row r="108">
      <c r="C108" s="104" t="s">
        <v>157</v>
      </c>
      <c r="D108" s="105">
        <v>10.0</v>
      </c>
      <c r="E108" s="105">
        <v>120.0</v>
      </c>
      <c r="F108" s="106">
        <f t="shared" si="7"/>
        <v>1200</v>
      </c>
      <c r="G108" s="107">
        <v>44776.0</v>
      </c>
    </row>
    <row r="109">
      <c r="C109" s="104" t="s">
        <v>114</v>
      </c>
      <c r="D109" s="105">
        <v>1.0</v>
      </c>
      <c r="E109" s="105">
        <v>850.0</v>
      </c>
      <c r="F109" s="106">
        <f t="shared" si="7"/>
        <v>850</v>
      </c>
      <c r="G109" s="107">
        <v>44776.0</v>
      </c>
    </row>
    <row r="110">
      <c r="C110" s="104" t="s">
        <v>158</v>
      </c>
      <c r="D110" s="105">
        <v>5.0</v>
      </c>
      <c r="E110" s="105">
        <v>20.0</v>
      </c>
      <c r="F110" s="106">
        <f t="shared" si="7"/>
        <v>100</v>
      </c>
      <c r="G110" s="107">
        <v>44776.0</v>
      </c>
    </row>
    <row r="111">
      <c r="C111" s="104" t="s">
        <v>145</v>
      </c>
      <c r="D111" s="105">
        <v>5.0</v>
      </c>
      <c r="E111" s="105">
        <v>50.0</v>
      </c>
      <c r="F111" s="106">
        <f t="shared" si="7"/>
        <v>250</v>
      </c>
      <c r="G111" s="107">
        <v>44776.0</v>
      </c>
    </row>
    <row r="112">
      <c r="C112" s="104" t="s">
        <v>159</v>
      </c>
      <c r="D112" s="105">
        <v>3.0</v>
      </c>
      <c r="E112" s="105">
        <v>150.0</v>
      </c>
      <c r="F112" s="106">
        <f t="shared" si="7"/>
        <v>450</v>
      </c>
      <c r="G112" s="107">
        <v>44776.0</v>
      </c>
    </row>
    <row r="113">
      <c r="C113" s="104" t="s">
        <v>160</v>
      </c>
      <c r="D113" s="105">
        <v>7.0</v>
      </c>
      <c r="E113" s="105">
        <v>300.0</v>
      </c>
      <c r="F113" s="106">
        <f t="shared" si="7"/>
        <v>2100</v>
      </c>
      <c r="G113" s="107">
        <v>44776.0</v>
      </c>
    </row>
    <row r="114">
      <c r="C114" s="104" t="s">
        <v>113</v>
      </c>
      <c r="D114" s="105">
        <v>1.0</v>
      </c>
      <c r="E114" s="105">
        <v>450.0</v>
      </c>
      <c r="F114" s="106">
        <f t="shared" si="7"/>
        <v>450</v>
      </c>
      <c r="G114" s="107">
        <v>44776.0</v>
      </c>
    </row>
    <row r="115">
      <c r="C115" s="104" t="s">
        <v>161</v>
      </c>
      <c r="D115" s="105">
        <v>1.0</v>
      </c>
      <c r="E115" s="105">
        <v>250.0</v>
      </c>
      <c r="F115" s="106">
        <f t="shared" si="7"/>
        <v>250</v>
      </c>
      <c r="G115" s="107">
        <v>44776.0</v>
      </c>
    </row>
    <row r="116">
      <c r="C116" s="104" t="s">
        <v>147</v>
      </c>
      <c r="D116" s="105">
        <v>2.0</v>
      </c>
      <c r="E116" s="105">
        <v>100.0</v>
      </c>
      <c r="F116" s="106">
        <f t="shared" si="7"/>
        <v>200</v>
      </c>
      <c r="G116" s="107">
        <v>44776.0</v>
      </c>
    </row>
    <row r="117">
      <c r="C117" s="104" t="s">
        <v>162</v>
      </c>
      <c r="D117" s="105">
        <v>30.0</v>
      </c>
      <c r="E117" s="105">
        <v>1416.0</v>
      </c>
      <c r="F117" s="106">
        <f t="shared" si="7"/>
        <v>42480</v>
      </c>
      <c r="G117" s="107">
        <v>44777.0</v>
      </c>
    </row>
    <row r="118">
      <c r="C118" s="104" t="s">
        <v>144</v>
      </c>
      <c r="D118" s="105">
        <v>2.0</v>
      </c>
      <c r="E118" s="105">
        <v>900.0</v>
      </c>
      <c r="F118" s="106">
        <f t="shared" si="7"/>
        <v>1800</v>
      </c>
      <c r="G118" s="107">
        <v>44777.0</v>
      </c>
    </row>
    <row r="119">
      <c r="C119" s="104" t="s">
        <v>163</v>
      </c>
      <c r="D119" s="105">
        <v>4.0</v>
      </c>
      <c r="E119" s="105">
        <v>150.0</v>
      </c>
      <c r="F119" s="106">
        <f t="shared" si="7"/>
        <v>600</v>
      </c>
      <c r="G119" s="107">
        <v>44777.0</v>
      </c>
    </row>
    <row r="120">
      <c r="C120" s="104" t="s">
        <v>104</v>
      </c>
      <c r="D120" s="105">
        <v>3.0</v>
      </c>
      <c r="E120" s="105">
        <v>2300.0</v>
      </c>
      <c r="F120" s="106">
        <f t="shared" si="7"/>
        <v>6900</v>
      </c>
      <c r="G120" s="107">
        <v>44777.0</v>
      </c>
    </row>
    <row r="121">
      <c r="C121" s="104" t="s">
        <v>164</v>
      </c>
      <c r="D121" s="105">
        <v>63.0</v>
      </c>
      <c r="E121" s="105">
        <v>55.0</v>
      </c>
      <c r="F121" s="106">
        <f t="shared" si="7"/>
        <v>3465</v>
      </c>
      <c r="G121" s="107">
        <v>44777.0</v>
      </c>
    </row>
    <row r="122">
      <c r="C122" s="104" t="s">
        <v>165</v>
      </c>
      <c r="D122" s="105">
        <v>20.0</v>
      </c>
      <c r="E122" s="105">
        <v>20.0</v>
      </c>
      <c r="F122" s="106">
        <f t="shared" si="7"/>
        <v>400</v>
      </c>
      <c r="G122" s="107">
        <v>44777.0</v>
      </c>
    </row>
    <row r="123">
      <c r="C123" s="104" t="s">
        <v>166</v>
      </c>
      <c r="D123" s="105">
        <v>1.0</v>
      </c>
      <c r="E123" s="105">
        <v>750.0</v>
      </c>
      <c r="F123" s="106">
        <f t="shared" si="7"/>
        <v>750</v>
      </c>
      <c r="G123" s="107">
        <v>44777.0</v>
      </c>
    </row>
    <row r="124">
      <c r="C124" s="104" t="s">
        <v>167</v>
      </c>
      <c r="D124" s="105">
        <v>3.0</v>
      </c>
      <c r="E124" s="105">
        <v>150.0</v>
      </c>
      <c r="F124" s="106">
        <f t="shared" si="7"/>
        <v>450</v>
      </c>
      <c r="G124" s="107">
        <v>44777.0</v>
      </c>
    </row>
    <row r="125">
      <c r="C125" s="104" t="s">
        <v>168</v>
      </c>
      <c r="D125" s="105">
        <v>1.0</v>
      </c>
      <c r="E125" s="105">
        <v>650.0</v>
      </c>
      <c r="F125" s="106">
        <f t="shared" si="7"/>
        <v>650</v>
      </c>
      <c r="G125" s="107">
        <v>44777.0</v>
      </c>
    </row>
    <row r="126">
      <c r="C126" s="104" t="s">
        <v>115</v>
      </c>
      <c r="D126" s="105">
        <v>1.0</v>
      </c>
      <c r="E126" s="105">
        <v>400.0</v>
      </c>
      <c r="F126" s="106">
        <f t="shared" si="7"/>
        <v>400</v>
      </c>
      <c r="G126" s="107">
        <v>44777.0</v>
      </c>
    </row>
    <row r="127">
      <c r="C127" s="104" t="s">
        <v>169</v>
      </c>
      <c r="D127" s="105">
        <v>2.0</v>
      </c>
      <c r="E127" s="105">
        <v>100.0</v>
      </c>
      <c r="F127" s="106">
        <f t="shared" si="7"/>
        <v>200</v>
      </c>
      <c r="G127" s="107">
        <v>44777.0</v>
      </c>
    </row>
    <row r="128">
      <c r="C128" s="104" t="s">
        <v>148</v>
      </c>
      <c r="D128" s="105">
        <v>10.0</v>
      </c>
      <c r="E128" s="105">
        <v>120.0</v>
      </c>
      <c r="F128" s="106">
        <f t="shared" si="7"/>
        <v>1200</v>
      </c>
      <c r="G128" s="107">
        <v>44777.0</v>
      </c>
    </row>
    <row r="129">
      <c r="C129" s="104" t="s">
        <v>170</v>
      </c>
      <c r="D129" s="105">
        <v>3.0</v>
      </c>
      <c r="E129" s="105">
        <v>100.0</v>
      </c>
      <c r="F129" s="106">
        <f t="shared" si="7"/>
        <v>300</v>
      </c>
      <c r="G129" s="107">
        <v>44777.0</v>
      </c>
    </row>
    <row r="130">
      <c r="C130" s="104" t="s">
        <v>171</v>
      </c>
      <c r="D130" s="105">
        <v>3.0</v>
      </c>
      <c r="E130" s="105">
        <v>100.0</v>
      </c>
      <c r="F130" s="106">
        <f t="shared" si="7"/>
        <v>300</v>
      </c>
      <c r="G130" s="107">
        <v>44777.0</v>
      </c>
    </row>
    <row r="131">
      <c r="C131" s="104" t="s">
        <v>172</v>
      </c>
      <c r="D131" s="105">
        <v>1.0</v>
      </c>
      <c r="E131" s="105">
        <v>100.0</v>
      </c>
      <c r="F131" s="106">
        <f t="shared" si="7"/>
        <v>100</v>
      </c>
      <c r="G131" s="107">
        <v>44777.0</v>
      </c>
    </row>
    <row r="132">
      <c r="C132" s="104" t="s">
        <v>173</v>
      </c>
      <c r="D132" s="105">
        <v>1.0</v>
      </c>
      <c r="E132" s="105">
        <v>150.0</v>
      </c>
      <c r="F132" s="106">
        <f t="shared" si="7"/>
        <v>150</v>
      </c>
      <c r="G132" s="107">
        <v>44777.0</v>
      </c>
    </row>
    <row r="133">
      <c r="C133" s="104" t="s">
        <v>143</v>
      </c>
      <c r="D133" s="105">
        <v>100.0</v>
      </c>
      <c r="E133" s="105">
        <v>50.0</v>
      </c>
      <c r="F133" s="106">
        <f t="shared" si="7"/>
        <v>5000</v>
      </c>
      <c r="G133" s="107">
        <v>44777.0</v>
      </c>
    </row>
    <row r="134">
      <c r="C134" s="104" t="s">
        <v>174</v>
      </c>
      <c r="D134" s="105">
        <v>8.0</v>
      </c>
      <c r="E134" s="105">
        <v>30.0</v>
      </c>
      <c r="F134" s="106">
        <f t="shared" si="7"/>
        <v>240</v>
      </c>
      <c r="G134" s="107">
        <v>44777.0</v>
      </c>
    </row>
    <row r="135">
      <c r="C135" s="104" t="s">
        <v>175</v>
      </c>
      <c r="D135" s="105">
        <v>6.0</v>
      </c>
      <c r="E135" s="105">
        <v>180.0</v>
      </c>
      <c r="F135" s="106">
        <f t="shared" si="7"/>
        <v>1080</v>
      </c>
      <c r="G135" s="107">
        <v>44777.0</v>
      </c>
    </row>
    <row r="136">
      <c r="C136" s="104" t="s">
        <v>176</v>
      </c>
      <c r="D136" s="105">
        <v>2.0</v>
      </c>
      <c r="E136" s="105">
        <v>250.0</v>
      </c>
      <c r="F136" s="106">
        <f t="shared" si="7"/>
        <v>500</v>
      </c>
      <c r="G136" s="107">
        <v>44777.0</v>
      </c>
    </row>
    <row r="137">
      <c r="C137" s="104" t="s">
        <v>59</v>
      </c>
      <c r="D137" s="105">
        <v>6.0</v>
      </c>
      <c r="E137" s="105">
        <v>200.0</v>
      </c>
      <c r="F137" s="106">
        <f t="shared" si="7"/>
        <v>1200</v>
      </c>
      <c r="G137" s="107">
        <v>44777.0</v>
      </c>
    </row>
    <row r="138">
      <c r="C138" s="104" t="s">
        <v>143</v>
      </c>
      <c r="D138" s="105">
        <v>15.0</v>
      </c>
      <c r="E138" s="105">
        <v>50.0</v>
      </c>
      <c r="F138" s="106">
        <f t="shared" si="7"/>
        <v>750</v>
      </c>
      <c r="G138" s="107">
        <v>44777.0</v>
      </c>
    </row>
    <row r="139">
      <c r="C139" s="104" t="s">
        <v>93</v>
      </c>
      <c r="D139" s="105">
        <v>1.0</v>
      </c>
      <c r="E139" s="105">
        <v>150.0</v>
      </c>
      <c r="F139" s="106">
        <f t="shared" si="7"/>
        <v>150</v>
      </c>
      <c r="G139" s="107">
        <v>44777.0</v>
      </c>
    </row>
    <row r="140">
      <c r="C140" s="104" t="s">
        <v>177</v>
      </c>
      <c r="D140" s="105">
        <v>2.0</v>
      </c>
      <c r="E140" s="105">
        <v>350.0</v>
      </c>
      <c r="F140" s="106">
        <f t="shared" si="7"/>
        <v>700</v>
      </c>
      <c r="G140" s="107"/>
    </row>
    <row r="141">
      <c r="C141" s="104" t="s">
        <v>114</v>
      </c>
      <c r="D141" s="105">
        <v>3.0</v>
      </c>
      <c r="E141" s="105">
        <v>900.0</v>
      </c>
      <c r="F141" s="106">
        <f t="shared" si="7"/>
        <v>2700</v>
      </c>
      <c r="G141" s="107">
        <v>44778.0</v>
      </c>
    </row>
    <row r="142">
      <c r="C142" s="104" t="s">
        <v>148</v>
      </c>
      <c r="D142" s="105">
        <v>15.0</v>
      </c>
      <c r="E142" s="105">
        <v>120.0</v>
      </c>
      <c r="F142" s="106">
        <f t="shared" si="7"/>
        <v>1800</v>
      </c>
      <c r="G142" s="107">
        <v>44778.0</v>
      </c>
    </row>
    <row r="143">
      <c r="C143" s="104" t="s">
        <v>178</v>
      </c>
      <c r="D143" s="105">
        <v>2.0</v>
      </c>
      <c r="E143" s="105">
        <v>250.0</v>
      </c>
      <c r="F143" s="106">
        <f t="shared" si="7"/>
        <v>500</v>
      </c>
      <c r="G143" s="107">
        <v>44778.0</v>
      </c>
    </row>
    <row r="144">
      <c r="C144" s="104" t="s">
        <v>179</v>
      </c>
      <c r="D144" s="105">
        <v>3.0</v>
      </c>
      <c r="E144" s="105">
        <v>150.0</v>
      </c>
      <c r="F144" s="106">
        <f t="shared" si="7"/>
        <v>450</v>
      </c>
      <c r="G144" s="107">
        <v>44778.0</v>
      </c>
    </row>
    <row r="145">
      <c r="C145" s="104" t="s">
        <v>180</v>
      </c>
      <c r="D145" s="105">
        <v>4.0</v>
      </c>
      <c r="E145" s="105">
        <v>160.0</v>
      </c>
      <c r="F145" s="106">
        <f t="shared" si="7"/>
        <v>640</v>
      </c>
      <c r="G145" s="107">
        <v>44778.0</v>
      </c>
    </row>
    <row r="146">
      <c r="C146" s="104" t="s">
        <v>181</v>
      </c>
      <c r="D146" s="105">
        <v>1.0</v>
      </c>
      <c r="E146" s="105">
        <v>200.0</v>
      </c>
      <c r="F146" s="106">
        <f t="shared" si="7"/>
        <v>200</v>
      </c>
      <c r="G146" s="107">
        <v>44778.0</v>
      </c>
    </row>
    <row r="147">
      <c r="C147" s="104" t="s">
        <v>93</v>
      </c>
      <c r="D147" s="105">
        <v>2.0</v>
      </c>
      <c r="E147" s="105">
        <v>400.0</v>
      </c>
      <c r="F147" s="106">
        <f t="shared" si="7"/>
        <v>800</v>
      </c>
      <c r="G147" s="107">
        <v>44778.0</v>
      </c>
    </row>
    <row r="148">
      <c r="C148" s="104" t="s">
        <v>182</v>
      </c>
      <c r="D148" s="105">
        <v>2.0</v>
      </c>
      <c r="E148" s="105">
        <v>200.0</v>
      </c>
      <c r="F148" s="106">
        <f t="shared" si="7"/>
        <v>400</v>
      </c>
      <c r="G148" s="107">
        <v>44778.0</v>
      </c>
    </row>
    <row r="149">
      <c r="C149" s="104" t="s">
        <v>183</v>
      </c>
      <c r="D149" s="105">
        <v>3.0</v>
      </c>
      <c r="E149" s="105">
        <v>200.0</v>
      </c>
      <c r="F149" s="106">
        <f t="shared" si="7"/>
        <v>600</v>
      </c>
      <c r="G149" s="107">
        <v>44778.0</v>
      </c>
    </row>
    <row r="150">
      <c r="C150" s="104" t="s">
        <v>184</v>
      </c>
      <c r="D150" s="105">
        <v>3.0</v>
      </c>
      <c r="E150" s="105">
        <v>150.0</v>
      </c>
      <c r="F150" s="106">
        <f t="shared" si="7"/>
        <v>450</v>
      </c>
      <c r="G150" s="107">
        <v>44778.0</v>
      </c>
    </row>
    <row r="151">
      <c r="C151" s="104" t="s">
        <v>113</v>
      </c>
      <c r="D151" s="105">
        <v>1.0</v>
      </c>
      <c r="E151" s="105">
        <v>400.0</v>
      </c>
      <c r="F151" s="106">
        <f t="shared" si="7"/>
        <v>400</v>
      </c>
      <c r="G151" s="107">
        <v>44778.0</v>
      </c>
    </row>
    <row r="152">
      <c r="C152" s="104" t="s">
        <v>112</v>
      </c>
      <c r="D152" s="105">
        <v>60.0</v>
      </c>
      <c r="E152" s="105">
        <v>50.0</v>
      </c>
      <c r="F152" s="106">
        <f t="shared" si="7"/>
        <v>3000</v>
      </c>
      <c r="G152" s="107">
        <v>44778.0</v>
      </c>
    </row>
    <row r="153">
      <c r="C153" s="104" t="s">
        <v>185</v>
      </c>
      <c r="D153" s="105">
        <v>2.0</v>
      </c>
      <c r="E153" s="105">
        <v>500.0</v>
      </c>
      <c r="F153" s="106">
        <f t="shared" si="7"/>
        <v>1000</v>
      </c>
      <c r="G153" s="107">
        <v>44778.0</v>
      </c>
    </row>
    <row r="154">
      <c r="C154" s="104" t="s">
        <v>172</v>
      </c>
      <c r="D154" s="105">
        <v>2.0</v>
      </c>
      <c r="E154" s="105">
        <v>70.0</v>
      </c>
      <c r="F154" s="106">
        <f t="shared" si="7"/>
        <v>140</v>
      </c>
      <c r="G154" s="107">
        <v>44779.0</v>
      </c>
    </row>
    <row r="155">
      <c r="C155" s="104" t="s">
        <v>171</v>
      </c>
      <c r="D155" s="105">
        <v>2.0</v>
      </c>
      <c r="E155" s="105">
        <v>100.0</v>
      </c>
      <c r="F155" s="106">
        <f t="shared" si="7"/>
        <v>200</v>
      </c>
      <c r="G155" s="107">
        <v>44779.0</v>
      </c>
    </row>
    <row r="156">
      <c r="C156" s="104" t="s">
        <v>170</v>
      </c>
      <c r="D156" s="105">
        <v>2.0</v>
      </c>
      <c r="E156" s="105">
        <v>150.0</v>
      </c>
      <c r="F156" s="106">
        <f t="shared" si="7"/>
        <v>300</v>
      </c>
      <c r="G156" s="107">
        <v>44779.0</v>
      </c>
    </row>
    <row r="157">
      <c r="C157" s="104" t="s">
        <v>186</v>
      </c>
      <c r="D157" s="105">
        <v>10.0</v>
      </c>
      <c r="E157" s="105">
        <v>70.0</v>
      </c>
      <c r="F157" s="106">
        <f t="shared" si="7"/>
        <v>700</v>
      </c>
      <c r="G157" s="107">
        <v>44779.0</v>
      </c>
    </row>
    <row r="158">
      <c r="C158" s="104" t="s">
        <v>59</v>
      </c>
      <c r="D158" s="105">
        <v>10.0</v>
      </c>
      <c r="E158" s="105">
        <v>140.0</v>
      </c>
      <c r="F158" s="106">
        <f t="shared" si="7"/>
        <v>1400</v>
      </c>
      <c r="G158" s="107">
        <v>44779.0</v>
      </c>
    </row>
    <row r="159">
      <c r="C159" s="104" t="s">
        <v>187</v>
      </c>
      <c r="D159" s="105">
        <v>1.0</v>
      </c>
      <c r="E159" s="105">
        <v>400.0</v>
      </c>
      <c r="F159" s="114">
        <v>400.0</v>
      </c>
      <c r="G159" s="107">
        <v>44779.0</v>
      </c>
    </row>
    <row r="160">
      <c r="C160" s="104" t="s">
        <v>114</v>
      </c>
      <c r="D160" s="105">
        <v>1.0</v>
      </c>
      <c r="E160" s="105">
        <v>900.0</v>
      </c>
      <c r="F160" s="106">
        <f t="shared" ref="F160:F231" si="8">E160*D160</f>
        <v>900</v>
      </c>
      <c r="G160" s="107">
        <v>44779.0</v>
      </c>
    </row>
    <row r="161">
      <c r="C161" s="104" t="s">
        <v>144</v>
      </c>
      <c r="D161" s="105">
        <v>1.0</v>
      </c>
      <c r="E161" s="105">
        <v>900.0</v>
      </c>
      <c r="F161" s="106">
        <f t="shared" si="8"/>
        <v>900</v>
      </c>
      <c r="G161" s="107">
        <v>44779.0</v>
      </c>
    </row>
    <row r="162">
      <c r="C162" s="104" t="s">
        <v>188</v>
      </c>
      <c r="D162" s="105">
        <v>1.0</v>
      </c>
      <c r="E162" s="105">
        <v>800.0</v>
      </c>
      <c r="F162" s="106">
        <f t="shared" si="8"/>
        <v>800</v>
      </c>
      <c r="G162" s="107">
        <v>44779.0</v>
      </c>
    </row>
    <row r="163">
      <c r="C163" s="104" t="s">
        <v>189</v>
      </c>
      <c r="D163" s="105">
        <v>1.0</v>
      </c>
      <c r="E163" s="105">
        <v>3000.0</v>
      </c>
      <c r="F163" s="106">
        <f t="shared" si="8"/>
        <v>3000</v>
      </c>
      <c r="G163" s="107">
        <v>44779.0</v>
      </c>
    </row>
    <row r="164">
      <c r="C164" s="104" t="s">
        <v>190</v>
      </c>
      <c r="D164" s="105">
        <v>2.0</v>
      </c>
      <c r="E164" s="105">
        <v>600.0</v>
      </c>
      <c r="F164" s="106">
        <f t="shared" si="8"/>
        <v>1200</v>
      </c>
      <c r="G164" s="107">
        <v>44779.0</v>
      </c>
    </row>
    <row r="165">
      <c r="C165" s="104" t="s">
        <v>191</v>
      </c>
      <c r="D165" s="105">
        <v>1.0</v>
      </c>
      <c r="E165" s="105">
        <v>350.0</v>
      </c>
      <c r="F165" s="106">
        <f t="shared" si="8"/>
        <v>350</v>
      </c>
      <c r="G165" s="107">
        <v>44779.0</v>
      </c>
    </row>
    <row r="166">
      <c r="C166" s="104" t="s">
        <v>97</v>
      </c>
      <c r="D166" s="105">
        <v>2.0</v>
      </c>
      <c r="E166" s="105">
        <v>550.0</v>
      </c>
      <c r="F166" s="106">
        <f t="shared" si="8"/>
        <v>1100</v>
      </c>
      <c r="G166" s="107">
        <v>44779.0</v>
      </c>
    </row>
    <row r="167">
      <c r="C167" s="104" t="s">
        <v>192</v>
      </c>
      <c r="D167" s="105">
        <v>1.0</v>
      </c>
      <c r="E167" s="105">
        <v>9700.0</v>
      </c>
      <c r="F167" s="106">
        <f t="shared" si="8"/>
        <v>9700</v>
      </c>
      <c r="G167" s="107">
        <v>44748.0</v>
      </c>
    </row>
    <row r="168">
      <c r="C168" s="104" t="s">
        <v>107</v>
      </c>
      <c r="D168" s="105">
        <v>10.0</v>
      </c>
      <c r="E168" s="105">
        <v>80.0</v>
      </c>
      <c r="F168" s="106">
        <f t="shared" si="8"/>
        <v>800</v>
      </c>
      <c r="G168" s="107">
        <v>44779.0</v>
      </c>
    </row>
    <row r="169">
      <c r="C169" s="104" t="s">
        <v>157</v>
      </c>
      <c r="D169" s="105">
        <v>45.0</v>
      </c>
      <c r="E169" s="105">
        <v>120.0</v>
      </c>
      <c r="F169" s="106">
        <f t="shared" si="8"/>
        <v>5400</v>
      </c>
      <c r="G169" s="107">
        <v>44780.0</v>
      </c>
    </row>
    <row r="170">
      <c r="C170" s="104" t="s">
        <v>193</v>
      </c>
      <c r="D170" s="105">
        <v>2.0</v>
      </c>
      <c r="E170" s="105">
        <v>900.0</v>
      </c>
      <c r="F170" s="106">
        <f t="shared" si="8"/>
        <v>1800</v>
      </c>
      <c r="G170" s="107">
        <v>44780.0</v>
      </c>
    </row>
    <row r="171">
      <c r="C171" s="104" t="s">
        <v>194</v>
      </c>
      <c r="D171" s="105">
        <v>1.0</v>
      </c>
      <c r="E171" s="105">
        <v>100.0</v>
      </c>
      <c r="F171" s="106">
        <f t="shared" si="8"/>
        <v>100</v>
      </c>
      <c r="G171" s="107">
        <v>44780.0</v>
      </c>
    </row>
    <row r="172">
      <c r="C172" s="104" t="s">
        <v>145</v>
      </c>
      <c r="D172" s="105">
        <v>2.0</v>
      </c>
      <c r="E172" s="105">
        <v>100.0</v>
      </c>
      <c r="F172" s="106">
        <f t="shared" si="8"/>
        <v>200</v>
      </c>
      <c r="G172" s="107">
        <v>44780.0</v>
      </c>
    </row>
    <row r="173">
      <c r="C173" s="104" t="s">
        <v>195</v>
      </c>
      <c r="D173" s="105">
        <v>10.0</v>
      </c>
      <c r="E173" s="105">
        <v>100.0</v>
      </c>
      <c r="F173" s="106">
        <f t="shared" si="8"/>
        <v>1000</v>
      </c>
      <c r="G173" s="107">
        <v>44780.0</v>
      </c>
    </row>
    <row r="174">
      <c r="C174" s="104" t="s">
        <v>196</v>
      </c>
      <c r="D174" s="105">
        <v>5.0</v>
      </c>
      <c r="E174" s="105">
        <v>400.0</v>
      </c>
      <c r="F174" s="106">
        <f t="shared" si="8"/>
        <v>2000</v>
      </c>
      <c r="G174" s="107">
        <v>44780.0</v>
      </c>
      <c r="H174" s="115" t="s">
        <v>197</v>
      </c>
    </row>
    <row r="175">
      <c r="C175" s="104" t="s">
        <v>198</v>
      </c>
      <c r="D175" s="105">
        <v>1.0</v>
      </c>
      <c r="E175" s="105">
        <v>150.0</v>
      </c>
      <c r="F175" s="106">
        <f t="shared" si="8"/>
        <v>150</v>
      </c>
      <c r="G175" s="107">
        <v>44780.0</v>
      </c>
    </row>
    <row r="176">
      <c r="C176" s="104" t="s">
        <v>147</v>
      </c>
      <c r="D176" s="105">
        <v>1.0</v>
      </c>
      <c r="E176" s="105">
        <v>250.0</v>
      </c>
      <c r="F176" s="106">
        <f t="shared" si="8"/>
        <v>250</v>
      </c>
      <c r="G176" s="107">
        <v>44780.0</v>
      </c>
    </row>
    <row r="177">
      <c r="C177" s="104" t="s">
        <v>199</v>
      </c>
      <c r="D177" s="105">
        <v>5.0</v>
      </c>
      <c r="E177" s="105">
        <v>15.0</v>
      </c>
      <c r="F177" s="106">
        <f t="shared" si="8"/>
        <v>75</v>
      </c>
      <c r="G177" s="107">
        <v>44780.0</v>
      </c>
    </row>
    <row r="178">
      <c r="C178" s="104" t="s">
        <v>93</v>
      </c>
      <c r="D178" s="105">
        <v>1.0</v>
      </c>
      <c r="E178" s="105">
        <v>150.0</v>
      </c>
      <c r="F178" s="106">
        <f t="shared" si="8"/>
        <v>150</v>
      </c>
      <c r="G178" s="107">
        <v>44780.0</v>
      </c>
    </row>
    <row r="179">
      <c r="C179" s="104" t="s">
        <v>200</v>
      </c>
      <c r="D179" s="105">
        <v>1.0</v>
      </c>
      <c r="E179" s="105">
        <v>1050.0</v>
      </c>
      <c r="F179" s="106">
        <f t="shared" si="8"/>
        <v>1050</v>
      </c>
      <c r="G179" s="107">
        <v>44780.0</v>
      </c>
    </row>
    <row r="180">
      <c r="C180" s="104" t="s">
        <v>201</v>
      </c>
      <c r="D180" s="105">
        <v>1.0</v>
      </c>
      <c r="E180" s="105">
        <v>1400.0</v>
      </c>
      <c r="F180" s="106">
        <f t="shared" si="8"/>
        <v>1400</v>
      </c>
      <c r="G180" s="107">
        <v>44780.0</v>
      </c>
    </row>
    <row r="181">
      <c r="C181" s="104" t="s">
        <v>202</v>
      </c>
      <c r="D181" s="105">
        <v>2.0</v>
      </c>
      <c r="E181" s="105">
        <v>80.0</v>
      </c>
      <c r="F181" s="106">
        <f t="shared" si="8"/>
        <v>160</v>
      </c>
      <c r="G181" s="107">
        <v>44780.0</v>
      </c>
    </row>
    <row r="182">
      <c r="C182" s="104" t="s">
        <v>203</v>
      </c>
      <c r="D182" s="105">
        <v>10.0</v>
      </c>
      <c r="E182" s="105">
        <v>15.0</v>
      </c>
      <c r="F182" s="106">
        <f t="shared" si="8"/>
        <v>150</v>
      </c>
      <c r="G182" s="107">
        <v>44780.0</v>
      </c>
    </row>
    <row r="183">
      <c r="C183" s="104" t="s">
        <v>204</v>
      </c>
      <c r="D183" s="105">
        <v>10.0</v>
      </c>
      <c r="E183" s="105">
        <v>120.0</v>
      </c>
      <c r="F183" s="106">
        <f t="shared" si="8"/>
        <v>1200</v>
      </c>
      <c r="G183" s="107">
        <v>44781.0</v>
      </c>
    </row>
    <row r="184">
      <c r="C184" s="104" t="s">
        <v>205</v>
      </c>
      <c r="D184" s="105">
        <v>20.0</v>
      </c>
      <c r="E184" s="105">
        <v>15.0</v>
      </c>
      <c r="F184" s="106">
        <f t="shared" si="8"/>
        <v>300</v>
      </c>
      <c r="G184" s="107">
        <v>44781.0</v>
      </c>
    </row>
    <row r="185">
      <c r="C185" s="104" t="s">
        <v>206</v>
      </c>
      <c r="D185" s="105">
        <v>2.0</v>
      </c>
      <c r="E185" s="105">
        <v>100.0</v>
      </c>
      <c r="F185" s="106">
        <f t="shared" si="8"/>
        <v>200</v>
      </c>
      <c r="G185" s="107">
        <v>44781.0</v>
      </c>
    </row>
    <row r="186">
      <c r="C186" s="104" t="s">
        <v>207</v>
      </c>
      <c r="D186" s="105">
        <v>2.0</v>
      </c>
      <c r="E186" s="105">
        <v>130.0</v>
      </c>
      <c r="F186" s="106">
        <f t="shared" si="8"/>
        <v>260</v>
      </c>
      <c r="G186" s="107">
        <v>44781.0</v>
      </c>
    </row>
    <row r="187">
      <c r="C187" s="104" t="s">
        <v>208</v>
      </c>
      <c r="D187" s="105">
        <v>1.0</v>
      </c>
      <c r="E187" s="105">
        <v>1350.0</v>
      </c>
      <c r="F187" s="106">
        <f t="shared" si="8"/>
        <v>1350</v>
      </c>
      <c r="G187" s="107">
        <v>44781.0</v>
      </c>
    </row>
    <row r="188">
      <c r="C188" s="104" t="s">
        <v>209</v>
      </c>
      <c r="D188" s="105">
        <v>1.0</v>
      </c>
      <c r="E188" s="105">
        <v>450.0</v>
      </c>
      <c r="F188" s="106">
        <f t="shared" si="8"/>
        <v>450</v>
      </c>
      <c r="G188" s="107">
        <v>44781.0</v>
      </c>
    </row>
    <row r="189">
      <c r="C189" s="104" t="s">
        <v>210</v>
      </c>
      <c r="D189" s="105">
        <v>3.0</v>
      </c>
      <c r="E189" s="105">
        <v>100.0</v>
      </c>
      <c r="F189" s="106">
        <f t="shared" si="8"/>
        <v>300</v>
      </c>
      <c r="G189" s="107">
        <v>44781.0</v>
      </c>
    </row>
    <row r="190">
      <c r="C190" s="104" t="s">
        <v>147</v>
      </c>
      <c r="D190" s="105">
        <v>5.0</v>
      </c>
      <c r="E190" s="105">
        <v>80.0</v>
      </c>
      <c r="F190" s="106">
        <f t="shared" si="8"/>
        <v>400</v>
      </c>
      <c r="G190" s="107">
        <v>44781.0</v>
      </c>
    </row>
    <row r="191">
      <c r="C191" s="104" t="s">
        <v>148</v>
      </c>
      <c r="D191" s="105">
        <v>40.0</v>
      </c>
      <c r="E191" s="105">
        <v>120.0</v>
      </c>
      <c r="F191" s="106">
        <f t="shared" si="8"/>
        <v>4800</v>
      </c>
      <c r="G191" s="107">
        <v>44781.0</v>
      </c>
    </row>
    <row r="192">
      <c r="C192" s="104" t="s">
        <v>144</v>
      </c>
      <c r="D192" s="105">
        <v>1.0</v>
      </c>
      <c r="E192" s="105">
        <v>900.0</v>
      </c>
      <c r="F192" s="106">
        <f t="shared" si="8"/>
        <v>900</v>
      </c>
      <c r="G192" s="107">
        <v>44781.0</v>
      </c>
    </row>
    <row r="193">
      <c r="C193" s="104" t="s">
        <v>59</v>
      </c>
      <c r="D193" s="105">
        <v>2.0</v>
      </c>
      <c r="E193" s="105">
        <v>240.0</v>
      </c>
      <c r="F193" s="106">
        <f t="shared" si="8"/>
        <v>480</v>
      </c>
      <c r="G193" s="107">
        <v>44781.0</v>
      </c>
    </row>
    <row r="194">
      <c r="C194" s="104" t="s">
        <v>196</v>
      </c>
      <c r="D194" s="105">
        <v>1.0</v>
      </c>
      <c r="E194" s="105">
        <v>400.0</v>
      </c>
      <c r="F194" s="106">
        <f t="shared" si="8"/>
        <v>400</v>
      </c>
      <c r="G194" s="107">
        <v>44781.0</v>
      </c>
    </row>
    <row r="195">
      <c r="C195" s="104" t="s">
        <v>93</v>
      </c>
      <c r="D195" s="105">
        <v>3.0</v>
      </c>
      <c r="E195" s="105">
        <v>150.0</v>
      </c>
      <c r="F195" s="106">
        <f t="shared" si="8"/>
        <v>450</v>
      </c>
      <c r="G195" s="107">
        <v>44781.0</v>
      </c>
    </row>
    <row r="196">
      <c r="C196" s="104" t="s">
        <v>115</v>
      </c>
      <c r="D196" s="105">
        <v>1.0</v>
      </c>
      <c r="E196" s="105">
        <v>300.0</v>
      </c>
      <c r="F196" s="106">
        <f t="shared" si="8"/>
        <v>300</v>
      </c>
      <c r="G196" s="107">
        <v>44781.0</v>
      </c>
    </row>
    <row r="197">
      <c r="C197" s="104" t="s">
        <v>100</v>
      </c>
      <c r="D197" s="105">
        <v>1.0</v>
      </c>
      <c r="E197" s="105">
        <v>1350.0</v>
      </c>
      <c r="F197" s="106">
        <f t="shared" si="8"/>
        <v>1350</v>
      </c>
      <c r="G197" s="107">
        <v>44781.0</v>
      </c>
    </row>
    <row r="198">
      <c r="C198" s="104" t="s">
        <v>211</v>
      </c>
      <c r="D198" s="105">
        <v>5.0</v>
      </c>
      <c r="E198" s="105">
        <v>20.0</v>
      </c>
      <c r="F198" s="106">
        <f t="shared" si="8"/>
        <v>100</v>
      </c>
      <c r="G198" s="107">
        <v>44781.0</v>
      </c>
    </row>
    <row r="199">
      <c r="C199" s="104" t="s">
        <v>157</v>
      </c>
      <c r="D199" s="105">
        <v>60.0</v>
      </c>
      <c r="E199" s="105">
        <v>120.0</v>
      </c>
      <c r="F199" s="106">
        <f t="shared" si="8"/>
        <v>7200</v>
      </c>
      <c r="G199" s="107">
        <v>44782.0</v>
      </c>
    </row>
    <row r="200">
      <c r="C200" s="104" t="s">
        <v>212</v>
      </c>
      <c r="D200" s="105">
        <v>4.0</v>
      </c>
      <c r="E200" s="105">
        <v>900.0</v>
      </c>
      <c r="F200" s="106">
        <f t="shared" si="8"/>
        <v>3600</v>
      </c>
      <c r="G200" s="107">
        <v>44782.0</v>
      </c>
    </row>
    <row r="201">
      <c r="C201" s="104" t="s">
        <v>213</v>
      </c>
      <c r="D201" s="105">
        <v>2.0</v>
      </c>
      <c r="E201" s="105">
        <v>450.0</v>
      </c>
      <c r="F201" s="106">
        <f t="shared" si="8"/>
        <v>900</v>
      </c>
      <c r="G201" s="107">
        <v>44781.0</v>
      </c>
    </row>
    <row r="202">
      <c r="C202" s="104" t="s">
        <v>116</v>
      </c>
      <c r="D202" s="105">
        <v>2.0</v>
      </c>
      <c r="E202" s="105">
        <v>200.0</v>
      </c>
      <c r="F202" s="106">
        <f t="shared" si="8"/>
        <v>400</v>
      </c>
      <c r="G202" s="107">
        <v>44782.0</v>
      </c>
    </row>
    <row r="203">
      <c r="C203" s="104" t="s">
        <v>115</v>
      </c>
      <c r="D203" s="105">
        <v>3.0</v>
      </c>
      <c r="E203" s="105">
        <v>250.0</v>
      </c>
      <c r="F203" s="106">
        <f t="shared" si="8"/>
        <v>750</v>
      </c>
      <c r="G203" s="107">
        <v>44782.0</v>
      </c>
    </row>
    <row r="204">
      <c r="C204" s="104" t="s">
        <v>93</v>
      </c>
      <c r="D204" s="105">
        <v>2.0</v>
      </c>
      <c r="E204" s="105">
        <v>150.0</v>
      </c>
      <c r="F204" s="106">
        <f t="shared" si="8"/>
        <v>300</v>
      </c>
      <c r="G204" s="107">
        <v>44782.0</v>
      </c>
    </row>
    <row r="205">
      <c r="C205" s="104" t="s">
        <v>214</v>
      </c>
      <c r="D205" s="105">
        <v>1.0</v>
      </c>
      <c r="E205" s="105">
        <v>300.0</v>
      </c>
      <c r="F205" s="106">
        <f t="shared" si="8"/>
        <v>300</v>
      </c>
      <c r="G205" s="107">
        <v>44782.0</v>
      </c>
    </row>
    <row r="206">
      <c r="C206" s="104" t="s">
        <v>113</v>
      </c>
      <c r="D206" s="105">
        <v>2.0</v>
      </c>
      <c r="E206" s="105">
        <v>450.0</v>
      </c>
      <c r="F206" s="106">
        <f t="shared" si="8"/>
        <v>900</v>
      </c>
      <c r="G206" s="107">
        <v>44782.0</v>
      </c>
    </row>
    <row r="207">
      <c r="C207" s="104" t="s">
        <v>215</v>
      </c>
      <c r="D207" s="105">
        <v>1.0</v>
      </c>
      <c r="E207" s="105">
        <v>500.0</v>
      </c>
      <c r="F207" s="106">
        <f t="shared" si="8"/>
        <v>500</v>
      </c>
      <c r="G207" s="107">
        <v>44782.0</v>
      </c>
    </row>
    <row r="208">
      <c r="C208" s="104" t="s">
        <v>216</v>
      </c>
      <c r="D208" s="105">
        <v>1.0</v>
      </c>
      <c r="E208" s="105">
        <v>200.0</v>
      </c>
      <c r="F208" s="106">
        <f t="shared" si="8"/>
        <v>200</v>
      </c>
      <c r="G208" s="107">
        <v>44782.0</v>
      </c>
    </row>
    <row r="209">
      <c r="C209" s="104" t="s">
        <v>217</v>
      </c>
      <c r="D209" s="105">
        <v>5.0</v>
      </c>
      <c r="E209" s="105">
        <v>20.0</v>
      </c>
      <c r="F209" s="106">
        <f t="shared" si="8"/>
        <v>100</v>
      </c>
      <c r="G209" s="107">
        <v>44782.0</v>
      </c>
    </row>
    <row r="210">
      <c r="C210" s="104" t="s">
        <v>218</v>
      </c>
      <c r="D210" s="105">
        <v>1.0</v>
      </c>
      <c r="E210" s="105">
        <v>500.0</v>
      </c>
      <c r="F210" s="106">
        <f t="shared" si="8"/>
        <v>500</v>
      </c>
      <c r="G210" s="107">
        <v>44782.0</v>
      </c>
    </row>
    <row r="211">
      <c r="C211" s="104" t="s">
        <v>219</v>
      </c>
      <c r="D211" s="105">
        <v>2.0</v>
      </c>
      <c r="E211" s="105">
        <v>200.0</v>
      </c>
      <c r="F211" s="106">
        <f t="shared" si="8"/>
        <v>400</v>
      </c>
      <c r="G211" s="107">
        <v>44782.0</v>
      </c>
    </row>
    <row r="212">
      <c r="C212" s="104" t="s">
        <v>143</v>
      </c>
      <c r="D212" s="105">
        <v>20.0</v>
      </c>
      <c r="E212" s="105">
        <v>50.0</v>
      </c>
      <c r="F212" s="106">
        <f t="shared" si="8"/>
        <v>1000</v>
      </c>
      <c r="G212" s="107">
        <v>44691.0</v>
      </c>
    </row>
    <row r="213">
      <c r="C213" s="104" t="s">
        <v>114</v>
      </c>
      <c r="D213" s="105">
        <v>2.5</v>
      </c>
      <c r="E213" s="105">
        <v>800.0</v>
      </c>
      <c r="F213" s="106">
        <f t="shared" si="8"/>
        <v>2000</v>
      </c>
      <c r="G213" s="107">
        <v>44783.0</v>
      </c>
    </row>
    <row r="214">
      <c r="C214" s="104" t="s">
        <v>59</v>
      </c>
      <c r="D214" s="105">
        <v>2.0</v>
      </c>
      <c r="E214" s="105">
        <v>150.0</v>
      </c>
      <c r="F214" s="106">
        <f t="shared" si="8"/>
        <v>300</v>
      </c>
      <c r="G214" s="107">
        <v>44783.0</v>
      </c>
    </row>
    <row r="215">
      <c r="C215" s="104" t="s">
        <v>220</v>
      </c>
      <c r="D215" s="105">
        <v>5.0</v>
      </c>
      <c r="E215" s="105">
        <v>80.0</v>
      </c>
      <c r="F215" s="106">
        <f t="shared" si="8"/>
        <v>400</v>
      </c>
      <c r="G215" s="107">
        <v>44783.0</v>
      </c>
    </row>
    <row r="216">
      <c r="C216" s="104" t="s">
        <v>170</v>
      </c>
      <c r="D216" s="105">
        <v>2.0</v>
      </c>
      <c r="E216" s="105">
        <v>150.0</v>
      </c>
      <c r="F216" s="106">
        <f t="shared" si="8"/>
        <v>300</v>
      </c>
      <c r="G216" s="107">
        <v>44783.0</v>
      </c>
    </row>
    <row r="217">
      <c r="C217" s="104" t="s">
        <v>172</v>
      </c>
      <c r="D217" s="105">
        <v>1.0</v>
      </c>
      <c r="E217" s="105">
        <v>100.0</v>
      </c>
      <c r="F217" s="106">
        <f t="shared" si="8"/>
        <v>100</v>
      </c>
      <c r="G217" s="107">
        <v>44783.0</v>
      </c>
    </row>
    <row r="218">
      <c r="C218" s="104" t="s">
        <v>93</v>
      </c>
      <c r="D218" s="105">
        <v>1.0</v>
      </c>
      <c r="E218" s="105">
        <v>150.0</v>
      </c>
      <c r="F218" s="106">
        <f t="shared" si="8"/>
        <v>150</v>
      </c>
      <c r="G218" s="107">
        <v>44783.0</v>
      </c>
    </row>
    <row r="219">
      <c r="C219" s="104" t="s">
        <v>146</v>
      </c>
      <c r="D219" s="105">
        <v>2.0</v>
      </c>
      <c r="E219" s="105">
        <v>100.0</v>
      </c>
      <c r="F219" s="106">
        <f t="shared" si="8"/>
        <v>200</v>
      </c>
      <c r="G219" s="107">
        <v>44783.0</v>
      </c>
    </row>
    <row r="220">
      <c r="C220" s="104" t="s">
        <v>145</v>
      </c>
      <c r="D220" s="105">
        <v>1.0</v>
      </c>
      <c r="E220" s="105">
        <v>100.0</v>
      </c>
      <c r="F220" s="106">
        <f t="shared" si="8"/>
        <v>100</v>
      </c>
      <c r="G220" s="107">
        <v>44783.0</v>
      </c>
    </row>
    <row r="221">
      <c r="C221" s="104" t="s">
        <v>175</v>
      </c>
      <c r="D221" s="105">
        <v>5.0</v>
      </c>
      <c r="E221" s="105">
        <v>190.0</v>
      </c>
      <c r="F221" s="106">
        <f t="shared" si="8"/>
        <v>950</v>
      </c>
      <c r="G221" s="107">
        <v>44783.0</v>
      </c>
    </row>
    <row r="222">
      <c r="C222" s="104" t="s">
        <v>149</v>
      </c>
      <c r="D222" s="105">
        <v>2.0</v>
      </c>
      <c r="E222" s="105">
        <v>100.0</v>
      </c>
      <c r="F222" s="106">
        <f t="shared" si="8"/>
        <v>200</v>
      </c>
      <c r="G222" s="107">
        <v>44783.0</v>
      </c>
    </row>
    <row r="223">
      <c r="C223" s="104" t="s">
        <v>194</v>
      </c>
      <c r="D223" s="105">
        <v>3.0</v>
      </c>
      <c r="E223" s="105">
        <v>50.0</v>
      </c>
      <c r="F223" s="106">
        <f t="shared" si="8"/>
        <v>150</v>
      </c>
      <c r="G223" s="107">
        <v>44783.0</v>
      </c>
    </row>
    <row r="224">
      <c r="C224" s="104" t="s">
        <v>182</v>
      </c>
      <c r="D224" s="105">
        <v>2.0</v>
      </c>
      <c r="E224" s="105">
        <v>150.0</v>
      </c>
      <c r="F224" s="106">
        <f t="shared" si="8"/>
        <v>300</v>
      </c>
      <c r="G224" s="107">
        <v>44783.0</v>
      </c>
    </row>
    <row r="225">
      <c r="C225" s="104" t="s">
        <v>221</v>
      </c>
      <c r="D225" s="105">
        <v>1.0</v>
      </c>
      <c r="E225" s="105">
        <v>200.0</v>
      </c>
      <c r="F225" s="106">
        <f t="shared" si="8"/>
        <v>200</v>
      </c>
      <c r="G225" s="107">
        <v>44783.0</v>
      </c>
    </row>
    <row r="226">
      <c r="C226" s="104" t="s">
        <v>222</v>
      </c>
      <c r="D226" s="105">
        <v>1.0</v>
      </c>
      <c r="E226" s="105">
        <v>600.0</v>
      </c>
      <c r="F226" s="106">
        <f t="shared" si="8"/>
        <v>600</v>
      </c>
      <c r="G226" s="107">
        <v>44783.0</v>
      </c>
    </row>
    <row r="227">
      <c r="C227" s="104" t="s">
        <v>223</v>
      </c>
      <c r="D227" s="105">
        <v>0.5</v>
      </c>
      <c r="E227" s="105">
        <v>500.0</v>
      </c>
      <c r="F227" s="106">
        <f t="shared" si="8"/>
        <v>250</v>
      </c>
      <c r="G227" s="107">
        <v>44783.0</v>
      </c>
    </row>
    <row r="228">
      <c r="C228" s="116" t="s">
        <v>224</v>
      </c>
      <c r="D228" s="117">
        <v>10.0</v>
      </c>
      <c r="E228" s="117">
        <v>1750.0</v>
      </c>
      <c r="F228" s="118">
        <f t="shared" si="8"/>
        <v>17500</v>
      </c>
      <c r="G228" s="107">
        <v>44783.0</v>
      </c>
    </row>
    <row r="229">
      <c r="C229" s="104" t="s">
        <v>98</v>
      </c>
      <c r="D229" s="105">
        <v>1.0</v>
      </c>
      <c r="E229" s="105">
        <v>2400.0</v>
      </c>
      <c r="F229" s="106">
        <f t="shared" si="8"/>
        <v>2400</v>
      </c>
      <c r="G229" s="107">
        <v>44783.0</v>
      </c>
    </row>
    <row r="230">
      <c r="C230" s="104" t="s">
        <v>75</v>
      </c>
      <c r="D230" s="105">
        <v>10.0</v>
      </c>
      <c r="E230" s="105">
        <v>140.0</v>
      </c>
      <c r="F230" s="106">
        <f t="shared" si="8"/>
        <v>1400</v>
      </c>
      <c r="G230" s="107">
        <v>44783.0</v>
      </c>
    </row>
    <row r="231">
      <c r="C231" s="104" t="s">
        <v>225</v>
      </c>
      <c r="D231" s="105">
        <v>1.0</v>
      </c>
      <c r="E231" s="105">
        <v>550.0</v>
      </c>
      <c r="F231" s="106">
        <f t="shared" si="8"/>
        <v>550</v>
      </c>
      <c r="G231" s="107">
        <v>44783.0</v>
      </c>
    </row>
    <row r="232">
      <c r="C232" s="104" t="s">
        <v>226</v>
      </c>
      <c r="D232" s="105">
        <v>1.0</v>
      </c>
      <c r="E232" s="105">
        <v>1100.0</v>
      </c>
      <c r="F232" s="114">
        <f>D232*E232</f>
        <v>1100</v>
      </c>
      <c r="G232" s="107">
        <v>44783.0</v>
      </c>
    </row>
    <row r="233">
      <c r="C233" s="116" t="s">
        <v>227</v>
      </c>
      <c r="D233" s="117">
        <v>10.0</v>
      </c>
      <c r="E233" s="117">
        <v>40.0</v>
      </c>
      <c r="F233" s="118">
        <f t="shared" ref="F233:F353" si="9">E233*D233</f>
        <v>400</v>
      </c>
      <c r="G233" s="107">
        <v>44783.0</v>
      </c>
    </row>
    <row r="234">
      <c r="C234" s="116" t="s">
        <v>228</v>
      </c>
      <c r="D234" s="117">
        <v>32.0</v>
      </c>
      <c r="E234" s="117">
        <v>1200.0</v>
      </c>
      <c r="F234" s="118">
        <f t="shared" si="9"/>
        <v>38400</v>
      </c>
      <c r="G234" s="119">
        <v>44784.0</v>
      </c>
    </row>
    <row r="235">
      <c r="C235" s="104" t="s">
        <v>229</v>
      </c>
      <c r="D235" s="105">
        <v>1.0</v>
      </c>
      <c r="E235" s="105">
        <v>2000.0</v>
      </c>
      <c r="F235" s="106">
        <f t="shared" si="9"/>
        <v>2000</v>
      </c>
      <c r="G235" s="107">
        <v>44784.0</v>
      </c>
    </row>
    <row r="236">
      <c r="C236" s="104" t="s">
        <v>59</v>
      </c>
      <c r="D236" s="105">
        <v>4.0</v>
      </c>
      <c r="E236" s="105">
        <v>150.0</v>
      </c>
      <c r="F236" s="106">
        <f t="shared" si="9"/>
        <v>600</v>
      </c>
      <c r="G236" s="107">
        <v>44784.0</v>
      </c>
    </row>
    <row r="237">
      <c r="C237" s="104" t="s">
        <v>114</v>
      </c>
      <c r="D237" s="105">
        <v>1.5</v>
      </c>
      <c r="E237" s="105">
        <v>800.0</v>
      </c>
      <c r="F237" s="106">
        <f t="shared" si="9"/>
        <v>1200</v>
      </c>
      <c r="G237" s="107">
        <v>44784.0</v>
      </c>
    </row>
    <row r="238">
      <c r="C238" s="104" t="s">
        <v>157</v>
      </c>
      <c r="D238" s="105">
        <v>15.0</v>
      </c>
      <c r="E238" s="105">
        <v>120.0</v>
      </c>
      <c r="F238" s="106">
        <f t="shared" si="9"/>
        <v>1800</v>
      </c>
      <c r="G238" s="107">
        <v>44784.0</v>
      </c>
    </row>
    <row r="239">
      <c r="C239" s="104" t="s">
        <v>230</v>
      </c>
      <c r="D239" s="105">
        <v>3.0</v>
      </c>
      <c r="E239" s="105">
        <v>100.0</v>
      </c>
      <c r="F239" s="106">
        <f t="shared" si="9"/>
        <v>300</v>
      </c>
      <c r="G239" s="107">
        <v>44784.0</v>
      </c>
    </row>
    <row r="240">
      <c r="C240" s="104" t="s">
        <v>149</v>
      </c>
      <c r="D240" s="105">
        <v>2.0</v>
      </c>
      <c r="E240" s="105">
        <v>100.0</v>
      </c>
      <c r="F240" s="106">
        <f t="shared" si="9"/>
        <v>200</v>
      </c>
      <c r="G240" s="107">
        <v>44784.0</v>
      </c>
    </row>
    <row r="241">
      <c r="C241" s="104" t="s">
        <v>93</v>
      </c>
      <c r="D241" s="105">
        <v>2.0</v>
      </c>
      <c r="E241" s="105">
        <v>150.0</v>
      </c>
      <c r="F241" s="106">
        <f t="shared" si="9"/>
        <v>300</v>
      </c>
      <c r="G241" s="107">
        <v>44784.0</v>
      </c>
    </row>
    <row r="242">
      <c r="C242" s="104" t="s">
        <v>231</v>
      </c>
      <c r="D242" s="105">
        <v>2.0</v>
      </c>
      <c r="E242" s="105">
        <v>300.0</v>
      </c>
      <c r="F242" s="106">
        <f t="shared" si="9"/>
        <v>600</v>
      </c>
      <c r="G242" s="107">
        <v>44784.0</v>
      </c>
    </row>
    <row r="243">
      <c r="C243" s="104" t="s">
        <v>232</v>
      </c>
      <c r="D243" s="105">
        <v>1.0</v>
      </c>
      <c r="E243" s="105">
        <v>150.0</v>
      </c>
      <c r="F243" s="106">
        <f t="shared" si="9"/>
        <v>150</v>
      </c>
      <c r="G243" s="107">
        <v>44784.0</v>
      </c>
    </row>
    <row r="244">
      <c r="C244" s="104" t="s">
        <v>196</v>
      </c>
      <c r="D244" s="105">
        <v>4.0</v>
      </c>
      <c r="E244" s="105">
        <v>400.0</v>
      </c>
      <c r="F244" s="106">
        <f t="shared" si="9"/>
        <v>1600</v>
      </c>
      <c r="G244" s="107">
        <v>44784.0</v>
      </c>
    </row>
    <row r="245">
      <c r="C245" s="104" t="s">
        <v>233</v>
      </c>
      <c r="D245" s="105">
        <v>1.0</v>
      </c>
      <c r="E245" s="105">
        <v>450.0</v>
      </c>
      <c r="F245" s="106">
        <f t="shared" si="9"/>
        <v>450</v>
      </c>
      <c r="G245" s="107">
        <v>44785.0</v>
      </c>
    </row>
    <row r="246">
      <c r="C246" s="104" t="s">
        <v>234</v>
      </c>
      <c r="D246" s="105">
        <v>1.0</v>
      </c>
      <c r="E246" s="105">
        <v>450.0</v>
      </c>
      <c r="F246" s="106">
        <f t="shared" si="9"/>
        <v>450</v>
      </c>
      <c r="G246" s="107">
        <v>44785.0</v>
      </c>
    </row>
    <row r="247">
      <c r="C247" s="104" t="s">
        <v>235</v>
      </c>
      <c r="D247" s="105">
        <v>12.0</v>
      </c>
      <c r="E247" s="105">
        <v>190.0</v>
      </c>
      <c r="F247" s="106">
        <f t="shared" si="9"/>
        <v>2280</v>
      </c>
      <c r="G247" s="107">
        <v>44785.0</v>
      </c>
    </row>
    <row r="248">
      <c r="C248" s="104" t="s">
        <v>148</v>
      </c>
      <c r="D248" s="105">
        <v>5.0</v>
      </c>
      <c r="E248" s="105">
        <v>120.0</v>
      </c>
      <c r="F248" s="106">
        <f t="shared" si="9"/>
        <v>600</v>
      </c>
      <c r="G248" s="107">
        <v>44785.0</v>
      </c>
    </row>
    <row r="249">
      <c r="C249" s="104" t="s">
        <v>236</v>
      </c>
      <c r="D249" s="105">
        <v>20.0</v>
      </c>
      <c r="E249" s="105">
        <v>15.0</v>
      </c>
      <c r="F249" s="106">
        <f t="shared" si="9"/>
        <v>300</v>
      </c>
      <c r="G249" s="107">
        <v>44785.0</v>
      </c>
    </row>
    <row r="250">
      <c r="C250" s="104" t="s">
        <v>237</v>
      </c>
      <c r="D250" s="105">
        <v>0.5</v>
      </c>
      <c r="E250" s="105">
        <v>400.0</v>
      </c>
      <c r="F250" s="106">
        <f t="shared" si="9"/>
        <v>200</v>
      </c>
      <c r="G250" s="107">
        <v>44785.0</v>
      </c>
    </row>
    <row r="251">
      <c r="C251" s="104" t="s">
        <v>238</v>
      </c>
      <c r="D251" s="105">
        <v>3.0</v>
      </c>
      <c r="E251" s="105">
        <v>150.0</v>
      </c>
      <c r="F251" s="106">
        <f t="shared" si="9"/>
        <v>450</v>
      </c>
      <c r="G251" s="107">
        <v>44785.0</v>
      </c>
    </row>
    <row r="252">
      <c r="C252" s="104" t="s">
        <v>93</v>
      </c>
      <c r="D252" s="105">
        <v>2.0</v>
      </c>
      <c r="E252" s="105">
        <v>150.0</v>
      </c>
      <c r="F252" s="106">
        <f t="shared" si="9"/>
        <v>300</v>
      </c>
      <c r="G252" s="107">
        <v>44785.0</v>
      </c>
    </row>
    <row r="253">
      <c r="C253" s="116" t="s">
        <v>239</v>
      </c>
      <c r="D253" s="117">
        <v>9.0</v>
      </c>
      <c r="E253" s="117">
        <v>505.0</v>
      </c>
      <c r="F253" s="118">
        <f t="shared" si="9"/>
        <v>4545</v>
      </c>
      <c r="G253" s="119">
        <v>44785.0</v>
      </c>
    </row>
    <row r="254">
      <c r="C254" s="104" t="s">
        <v>116</v>
      </c>
      <c r="D254" s="105">
        <v>2.0</v>
      </c>
      <c r="E254" s="105">
        <v>200.0</v>
      </c>
      <c r="F254" s="106">
        <f t="shared" si="9"/>
        <v>400</v>
      </c>
      <c r="G254" s="107">
        <v>44785.0</v>
      </c>
    </row>
    <row r="255">
      <c r="C255" s="104" t="s">
        <v>240</v>
      </c>
      <c r="D255" s="105">
        <v>2.0</v>
      </c>
      <c r="E255" s="105">
        <v>200.0</v>
      </c>
      <c r="F255" s="106">
        <f t="shared" si="9"/>
        <v>400</v>
      </c>
      <c r="G255" s="107">
        <v>44785.0</v>
      </c>
    </row>
    <row r="256">
      <c r="C256" s="104" t="s">
        <v>161</v>
      </c>
      <c r="D256" s="105">
        <v>2.0</v>
      </c>
      <c r="E256" s="105">
        <v>180.0</v>
      </c>
      <c r="F256" s="106">
        <f t="shared" si="9"/>
        <v>360</v>
      </c>
      <c r="G256" s="107">
        <v>44785.0</v>
      </c>
    </row>
    <row r="257">
      <c r="C257" s="104" t="s">
        <v>241</v>
      </c>
      <c r="D257" s="105">
        <v>2.0</v>
      </c>
      <c r="E257" s="105">
        <v>800.0</v>
      </c>
      <c r="F257" s="106">
        <f t="shared" si="9"/>
        <v>1600</v>
      </c>
      <c r="G257" s="107">
        <v>44785.0</v>
      </c>
    </row>
    <row r="258">
      <c r="C258" s="104" t="s">
        <v>173</v>
      </c>
      <c r="D258" s="105">
        <v>1.0</v>
      </c>
      <c r="E258" s="105">
        <v>100.0</v>
      </c>
      <c r="F258" s="106">
        <f t="shared" si="9"/>
        <v>100</v>
      </c>
      <c r="G258" s="107">
        <v>44785.0</v>
      </c>
    </row>
    <row r="259">
      <c r="C259" s="104" t="s">
        <v>210</v>
      </c>
      <c r="D259" s="105">
        <v>13.0</v>
      </c>
      <c r="E259" s="105">
        <v>100.0</v>
      </c>
      <c r="F259" s="106">
        <f t="shared" si="9"/>
        <v>1300</v>
      </c>
      <c r="G259" s="107">
        <v>44786.0</v>
      </c>
    </row>
    <row r="260">
      <c r="C260" s="104" t="s">
        <v>59</v>
      </c>
      <c r="D260" s="105">
        <v>6.0</v>
      </c>
      <c r="E260" s="105">
        <v>150.0</v>
      </c>
      <c r="F260" s="106">
        <f t="shared" si="9"/>
        <v>900</v>
      </c>
      <c r="G260" s="107">
        <v>44786.0</v>
      </c>
    </row>
    <row r="261">
      <c r="C261" s="104" t="s">
        <v>242</v>
      </c>
      <c r="D261" s="105">
        <v>1.0</v>
      </c>
      <c r="E261" s="105">
        <v>900.0</v>
      </c>
      <c r="F261" s="106">
        <f t="shared" si="9"/>
        <v>900</v>
      </c>
      <c r="G261" s="107">
        <v>44786.0</v>
      </c>
    </row>
    <row r="262">
      <c r="C262" s="104" t="s">
        <v>243</v>
      </c>
      <c r="D262" s="105">
        <v>1.0</v>
      </c>
      <c r="E262" s="105">
        <v>500.0</v>
      </c>
      <c r="F262" s="106">
        <f t="shared" si="9"/>
        <v>500</v>
      </c>
      <c r="G262" s="107">
        <v>44786.0</v>
      </c>
    </row>
    <row r="263">
      <c r="C263" s="104" t="s">
        <v>244</v>
      </c>
      <c r="D263" s="105">
        <v>3.0</v>
      </c>
      <c r="E263" s="105">
        <v>200.0</v>
      </c>
      <c r="F263" s="106">
        <f t="shared" si="9"/>
        <v>600</v>
      </c>
      <c r="G263" s="107">
        <v>44786.0</v>
      </c>
    </row>
    <row r="264">
      <c r="C264" s="104" t="s">
        <v>245</v>
      </c>
      <c r="D264" s="105">
        <v>1.0</v>
      </c>
      <c r="E264" s="105">
        <v>600.0</v>
      </c>
      <c r="F264" s="106">
        <f t="shared" si="9"/>
        <v>600</v>
      </c>
      <c r="G264" s="107">
        <v>44786.0</v>
      </c>
    </row>
    <row r="265">
      <c r="C265" s="104" t="s">
        <v>161</v>
      </c>
      <c r="D265" s="105">
        <v>2.0</v>
      </c>
      <c r="E265" s="105">
        <v>200.0</v>
      </c>
      <c r="F265" s="106">
        <f t="shared" si="9"/>
        <v>400</v>
      </c>
      <c r="G265" s="107">
        <v>44786.0</v>
      </c>
    </row>
    <row r="266">
      <c r="C266" s="104" t="s">
        <v>143</v>
      </c>
      <c r="D266" s="105">
        <v>20.0</v>
      </c>
      <c r="E266" s="105">
        <v>50.0</v>
      </c>
      <c r="F266" s="106">
        <f t="shared" si="9"/>
        <v>1000</v>
      </c>
      <c r="G266" s="107">
        <v>44786.0</v>
      </c>
    </row>
    <row r="267">
      <c r="C267" s="104" t="s">
        <v>148</v>
      </c>
      <c r="D267" s="105">
        <v>5.0</v>
      </c>
      <c r="E267" s="105">
        <v>120.0</v>
      </c>
      <c r="F267" s="106">
        <f t="shared" si="9"/>
        <v>600</v>
      </c>
      <c r="G267" s="107">
        <v>44787.0</v>
      </c>
    </row>
    <row r="268">
      <c r="C268" s="104" t="s">
        <v>246</v>
      </c>
      <c r="D268" s="105">
        <v>1.0</v>
      </c>
      <c r="E268" s="105">
        <v>750.0</v>
      </c>
      <c r="F268" s="106">
        <f t="shared" si="9"/>
        <v>750</v>
      </c>
      <c r="G268" s="107">
        <v>44787.0</v>
      </c>
    </row>
    <row r="269">
      <c r="C269" s="104" t="s">
        <v>247</v>
      </c>
      <c r="D269" s="105">
        <v>12.0</v>
      </c>
      <c r="E269" s="105">
        <v>400.0</v>
      </c>
      <c r="F269" s="106">
        <f t="shared" si="9"/>
        <v>4800</v>
      </c>
      <c r="G269" s="107">
        <v>44787.0</v>
      </c>
    </row>
    <row r="270">
      <c r="C270" s="104" t="s">
        <v>248</v>
      </c>
      <c r="D270" s="105">
        <v>3.0</v>
      </c>
      <c r="E270" s="105">
        <v>200.0</v>
      </c>
      <c r="F270" s="106">
        <f t="shared" si="9"/>
        <v>600</v>
      </c>
      <c r="G270" s="107">
        <v>44787.0</v>
      </c>
    </row>
    <row r="271">
      <c r="C271" s="104" t="s">
        <v>143</v>
      </c>
      <c r="D271" s="105">
        <v>40.0</v>
      </c>
      <c r="E271" s="105"/>
      <c r="F271" s="106">
        <f t="shared" si="9"/>
        <v>0</v>
      </c>
      <c r="G271" s="107">
        <v>44787.0</v>
      </c>
    </row>
    <row r="272">
      <c r="C272" s="104" t="s">
        <v>249</v>
      </c>
      <c r="D272" s="105">
        <v>2.0</v>
      </c>
      <c r="E272" s="105">
        <v>150.0</v>
      </c>
      <c r="F272" s="106">
        <f t="shared" si="9"/>
        <v>300</v>
      </c>
      <c r="G272" s="107">
        <v>44787.0</v>
      </c>
    </row>
    <row r="273">
      <c r="C273" s="104" t="s">
        <v>107</v>
      </c>
      <c r="D273" s="105">
        <v>2.0</v>
      </c>
      <c r="E273" s="105">
        <v>100.0</v>
      </c>
      <c r="F273" s="106">
        <f t="shared" si="9"/>
        <v>200</v>
      </c>
      <c r="G273" s="107">
        <v>44788.0</v>
      </c>
    </row>
    <row r="274">
      <c r="C274" s="104" t="s">
        <v>171</v>
      </c>
      <c r="D274" s="105">
        <v>3.0</v>
      </c>
      <c r="E274" s="105">
        <v>100.0</v>
      </c>
      <c r="F274" s="106">
        <f t="shared" si="9"/>
        <v>300</v>
      </c>
      <c r="G274" s="107">
        <v>44788.0</v>
      </c>
    </row>
    <row r="275">
      <c r="C275" s="104" t="s">
        <v>172</v>
      </c>
      <c r="D275" s="105">
        <v>2.0</v>
      </c>
      <c r="E275" s="105">
        <v>100.0</v>
      </c>
      <c r="F275" s="106">
        <f t="shared" si="9"/>
        <v>200</v>
      </c>
      <c r="G275" s="107">
        <v>44788.0</v>
      </c>
    </row>
    <row r="276">
      <c r="C276" s="104" t="s">
        <v>250</v>
      </c>
      <c r="D276" s="105">
        <v>1.0</v>
      </c>
      <c r="E276" s="105">
        <v>100.0</v>
      </c>
      <c r="F276" s="106">
        <f t="shared" si="9"/>
        <v>100</v>
      </c>
      <c r="G276" s="107">
        <v>44788.0</v>
      </c>
    </row>
    <row r="277">
      <c r="C277" s="104" t="s">
        <v>251</v>
      </c>
      <c r="D277" s="105">
        <v>1.0</v>
      </c>
      <c r="E277" s="105">
        <v>50.0</v>
      </c>
      <c r="F277" s="106">
        <f t="shared" si="9"/>
        <v>50</v>
      </c>
      <c r="G277" s="107">
        <v>44788.0</v>
      </c>
    </row>
    <row r="278">
      <c r="C278" s="104" t="s">
        <v>145</v>
      </c>
      <c r="D278" s="105">
        <v>2.0</v>
      </c>
      <c r="E278" s="105">
        <v>50.0</v>
      </c>
      <c r="F278" s="106">
        <f t="shared" si="9"/>
        <v>100</v>
      </c>
      <c r="G278" s="107">
        <v>44788.0</v>
      </c>
    </row>
    <row r="279">
      <c r="C279" s="104" t="s">
        <v>59</v>
      </c>
      <c r="D279" s="105">
        <v>18.0</v>
      </c>
      <c r="E279" s="105">
        <v>150.0</v>
      </c>
      <c r="F279" s="106">
        <f t="shared" si="9"/>
        <v>2700</v>
      </c>
      <c r="G279" s="107">
        <v>44788.0</v>
      </c>
    </row>
    <row r="280">
      <c r="C280" s="104" t="s">
        <v>252</v>
      </c>
      <c r="D280" s="105">
        <v>1.0</v>
      </c>
      <c r="E280" s="105">
        <v>400.0</v>
      </c>
      <c r="F280" s="106">
        <f t="shared" si="9"/>
        <v>400</v>
      </c>
      <c r="G280" s="107">
        <v>44788.0</v>
      </c>
    </row>
    <row r="281">
      <c r="C281" s="104" t="s">
        <v>144</v>
      </c>
      <c r="D281" s="105">
        <v>1.0</v>
      </c>
      <c r="E281" s="105">
        <v>750.0</v>
      </c>
      <c r="F281" s="106">
        <f t="shared" si="9"/>
        <v>750</v>
      </c>
      <c r="G281" s="107">
        <v>44788.0</v>
      </c>
    </row>
    <row r="282">
      <c r="C282" s="104" t="s">
        <v>148</v>
      </c>
      <c r="D282" s="105">
        <v>10.0</v>
      </c>
      <c r="E282" s="105">
        <v>120.0</v>
      </c>
      <c r="F282" s="106">
        <f t="shared" si="9"/>
        <v>1200</v>
      </c>
      <c r="G282" s="107">
        <v>44788.0</v>
      </c>
    </row>
    <row r="283">
      <c r="C283" s="104" t="s">
        <v>113</v>
      </c>
      <c r="D283" s="105">
        <v>2.0</v>
      </c>
      <c r="E283" s="105">
        <v>450.0</v>
      </c>
      <c r="F283" s="106">
        <f t="shared" si="9"/>
        <v>900</v>
      </c>
      <c r="G283" s="107">
        <v>44788.0</v>
      </c>
    </row>
    <row r="284">
      <c r="C284" s="104" t="s">
        <v>253</v>
      </c>
      <c r="D284" s="105">
        <v>1.0</v>
      </c>
      <c r="E284" s="105">
        <v>1150.0</v>
      </c>
      <c r="F284" s="106">
        <f t="shared" si="9"/>
        <v>1150</v>
      </c>
      <c r="G284" s="107">
        <v>44788.0</v>
      </c>
    </row>
    <row r="285">
      <c r="C285" s="104" t="s">
        <v>93</v>
      </c>
      <c r="D285" s="105">
        <v>2.0</v>
      </c>
      <c r="E285" s="105">
        <v>150.0</v>
      </c>
      <c r="F285" s="106">
        <f t="shared" si="9"/>
        <v>300</v>
      </c>
      <c r="G285" s="107">
        <v>44788.0</v>
      </c>
    </row>
    <row r="286">
      <c r="C286" s="104" t="s">
        <v>254</v>
      </c>
      <c r="D286" s="105">
        <v>1.0</v>
      </c>
      <c r="E286" s="105">
        <v>250.0</v>
      </c>
      <c r="F286" s="106">
        <f t="shared" si="9"/>
        <v>250</v>
      </c>
      <c r="G286" s="107">
        <v>44788.0</v>
      </c>
    </row>
    <row r="287">
      <c r="C287" s="104" t="s">
        <v>116</v>
      </c>
      <c r="D287" s="105">
        <v>1.0</v>
      </c>
      <c r="E287" s="105">
        <v>180.0</v>
      </c>
      <c r="F287" s="106">
        <f t="shared" si="9"/>
        <v>180</v>
      </c>
      <c r="G287" s="107">
        <v>44788.0</v>
      </c>
    </row>
    <row r="288">
      <c r="C288" s="104" t="s">
        <v>147</v>
      </c>
      <c r="D288" s="105">
        <v>3.0</v>
      </c>
      <c r="E288" s="105">
        <v>70.0</v>
      </c>
      <c r="F288" s="106">
        <f t="shared" si="9"/>
        <v>210</v>
      </c>
      <c r="G288" s="107">
        <v>44788.0</v>
      </c>
    </row>
    <row r="289">
      <c r="C289" s="104" t="s">
        <v>255</v>
      </c>
      <c r="D289" s="105">
        <v>2.0</v>
      </c>
      <c r="E289" s="105">
        <v>360.0</v>
      </c>
      <c r="F289" s="106">
        <f t="shared" si="9"/>
        <v>720</v>
      </c>
      <c r="G289" s="107">
        <v>44788.0</v>
      </c>
    </row>
    <row r="290">
      <c r="C290" s="104" t="s">
        <v>216</v>
      </c>
      <c r="D290" s="105">
        <v>10.0</v>
      </c>
      <c r="E290" s="105">
        <v>25.0</v>
      </c>
      <c r="F290" s="106">
        <f t="shared" si="9"/>
        <v>250</v>
      </c>
      <c r="G290" s="107">
        <v>44788.0</v>
      </c>
    </row>
    <row r="291">
      <c r="C291" s="104" t="s">
        <v>256</v>
      </c>
      <c r="D291" s="105">
        <v>2.0</v>
      </c>
      <c r="E291" s="105">
        <v>250.0</v>
      </c>
      <c r="F291" s="106">
        <f t="shared" si="9"/>
        <v>500</v>
      </c>
      <c r="G291" s="107">
        <v>44788.0</v>
      </c>
    </row>
    <row r="292">
      <c r="C292" s="104" t="s">
        <v>257</v>
      </c>
      <c r="D292" s="105">
        <v>1.0</v>
      </c>
      <c r="E292" s="105">
        <v>200.0</v>
      </c>
      <c r="F292" s="106">
        <f t="shared" si="9"/>
        <v>200</v>
      </c>
      <c r="G292" s="107">
        <v>44788.0</v>
      </c>
    </row>
    <row r="293">
      <c r="C293" s="104" t="s">
        <v>258</v>
      </c>
      <c r="D293" s="105">
        <v>1.0</v>
      </c>
      <c r="E293" s="105">
        <v>200.0</v>
      </c>
      <c r="F293" s="106">
        <f t="shared" si="9"/>
        <v>200</v>
      </c>
      <c r="G293" s="107">
        <v>44788.0</v>
      </c>
    </row>
    <row r="294">
      <c r="C294" s="104" t="s">
        <v>259</v>
      </c>
      <c r="D294" s="105">
        <v>1.0</v>
      </c>
      <c r="E294" s="105">
        <v>200.0</v>
      </c>
      <c r="F294" s="106">
        <f t="shared" si="9"/>
        <v>200</v>
      </c>
      <c r="G294" s="107">
        <v>44788.0</v>
      </c>
    </row>
    <row r="295">
      <c r="C295" s="104" t="s">
        <v>260</v>
      </c>
      <c r="D295" s="105">
        <v>1.0</v>
      </c>
      <c r="E295" s="105">
        <v>100.0</v>
      </c>
      <c r="F295" s="106">
        <f t="shared" si="9"/>
        <v>100</v>
      </c>
      <c r="G295" s="107">
        <v>44788.0</v>
      </c>
    </row>
    <row r="296">
      <c r="C296" s="104" t="s">
        <v>242</v>
      </c>
      <c r="D296" s="105">
        <v>1.0</v>
      </c>
      <c r="E296" s="105">
        <v>750.0</v>
      </c>
      <c r="F296" s="106">
        <f t="shared" si="9"/>
        <v>750</v>
      </c>
      <c r="G296" s="107">
        <v>44789.0</v>
      </c>
    </row>
    <row r="297">
      <c r="C297" s="104" t="s">
        <v>261</v>
      </c>
      <c r="D297" s="105">
        <v>0.5</v>
      </c>
      <c r="E297" s="105">
        <v>600.0</v>
      </c>
      <c r="F297" s="106">
        <f t="shared" si="9"/>
        <v>300</v>
      </c>
      <c r="G297" s="107">
        <v>44789.0</v>
      </c>
    </row>
    <row r="298">
      <c r="C298" s="104" t="s">
        <v>158</v>
      </c>
      <c r="D298" s="105">
        <v>25.0</v>
      </c>
      <c r="E298" s="105">
        <v>20.0</v>
      </c>
      <c r="F298" s="106">
        <f t="shared" si="9"/>
        <v>500</v>
      </c>
      <c r="G298" s="107">
        <v>44789.0</v>
      </c>
    </row>
    <row r="299">
      <c r="C299" s="104" t="s">
        <v>262</v>
      </c>
      <c r="D299" s="105">
        <v>3.0</v>
      </c>
      <c r="E299" s="105">
        <v>30.0</v>
      </c>
      <c r="F299" s="106">
        <f t="shared" si="9"/>
        <v>90</v>
      </c>
      <c r="G299" s="107">
        <v>44789.0</v>
      </c>
    </row>
    <row r="300">
      <c r="C300" s="104" t="s">
        <v>263</v>
      </c>
      <c r="D300" s="105">
        <v>1.0</v>
      </c>
      <c r="E300" s="105">
        <v>50.0</v>
      </c>
      <c r="F300" s="106">
        <f t="shared" si="9"/>
        <v>50</v>
      </c>
      <c r="G300" s="107">
        <v>44789.0</v>
      </c>
    </row>
    <row r="301">
      <c r="C301" s="104" t="s">
        <v>264</v>
      </c>
      <c r="D301" s="105">
        <v>4.0</v>
      </c>
      <c r="E301" s="105">
        <v>240.0</v>
      </c>
      <c r="F301" s="106">
        <f t="shared" si="9"/>
        <v>960</v>
      </c>
      <c r="G301" s="107">
        <v>44789.0</v>
      </c>
    </row>
    <row r="302">
      <c r="C302" s="104" t="s">
        <v>184</v>
      </c>
      <c r="D302" s="105">
        <v>6.0</v>
      </c>
      <c r="E302" s="105">
        <v>150.0</v>
      </c>
      <c r="F302" s="106">
        <f t="shared" si="9"/>
        <v>900</v>
      </c>
      <c r="G302" s="107">
        <v>44789.0</v>
      </c>
    </row>
    <row r="303">
      <c r="C303" s="104" t="s">
        <v>265</v>
      </c>
      <c r="D303" s="105">
        <v>1.0</v>
      </c>
      <c r="E303" s="105">
        <v>350.0</v>
      </c>
      <c r="F303" s="106">
        <f t="shared" si="9"/>
        <v>350</v>
      </c>
      <c r="G303" s="107">
        <v>44789.0</v>
      </c>
    </row>
    <row r="304">
      <c r="C304" s="104" t="s">
        <v>214</v>
      </c>
      <c r="D304" s="105">
        <v>1.0</v>
      </c>
      <c r="E304" s="105">
        <v>360.0</v>
      </c>
      <c r="F304" s="106">
        <f t="shared" si="9"/>
        <v>360</v>
      </c>
      <c r="G304" s="107">
        <v>44789.0</v>
      </c>
    </row>
    <row r="305">
      <c r="C305" s="104" t="s">
        <v>98</v>
      </c>
      <c r="D305" s="105">
        <v>1.0</v>
      </c>
      <c r="E305" s="105">
        <v>280.0</v>
      </c>
      <c r="F305" s="106">
        <f t="shared" si="9"/>
        <v>280</v>
      </c>
      <c r="G305" s="107">
        <v>44789.0</v>
      </c>
    </row>
    <row r="306">
      <c r="C306" s="104" t="s">
        <v>161</v>
      </c>
      <c r="D306" s="105">
        <v>1.0</v>
      </c>
      <c r="E306" s="105">
        <v>330.0</v>
      </c>
      <c r="F306" s="106">
        <f t="shared" si="9"/>
        <v>330</v>
      </c>
      <c r="G306" s="107">
        <v>44789.0</v>
      </c>
    </row>
    <row r="307">
      <c r="C307" s="104" t="s">
        <v>161</v>
      </c>
      <c r="D307" s="105">
        <v>1.0</v>
      </c>
      <c r="E307" s="105">
        <v>210.0</v>
      </c>
      <c r="F307" s="106">
        <f t="shared" si="9"/>
        <v>210</v>
      </c>
      <c r="G307" s="107">
        <v>44789.0</v>
      </c>
    </row>
    <row r="308">
      <c r="C308" s="104" t="s">
        <v>266</v>
      </c>
      <c r="D308" s="105">
        <v>1.0</v>
      </c>
      <c r="E308" s="105">
        <v>22.0</v>
      </c>
      <c r="F308" s="106">
        <f t="shared" si="9"/>
        <v>22</v>
      </c>
      <c r="G308" s="107">
        <v>44789.0</v>
      </c>
    </row>
    <row r="309">
      <c r="C309" s="104" t="s">
        <v>114</v>
      </c>
      <c r="D309" s="105">
        <v>1.0</v>
      </c>
      <c r="E309" s="105">
        <v>750.0</v>
      </c>
      <c r="F309" s="106">
        <f t="shared" si="9"/>
        <v>750</v>
      </c>
      <c r="G309" s="107">
        <v>44789.0</v>
      </c>
    </row>
    <row r="310">
      <c r="C310" s="104" t="s">
        <v>157</v>
      </c>
      <c r="D310" s="105">
        <v>10.0</v>
      </c>
      <c r="E310" s="105">
        <v>120.0</v>
      </c>
      <c r="F310" s="106">
        <f t="shared" si="9"/>
        <v>1200</v>
      </c>
      <c r="G310" s="107">
        <v>44789.0</v>
      </c>
    </row>
    <row r="311">
      <c r="C311" s="104" t="s">
        <v>143</v>
      </c>
      <c r="D311" s="105">
        <v>90.0</v>
      </c>
      <c r="E311" s="105">
        <v>50.0</v>
      </c>
      <c r="F311" s="106">
        <f t="shared" si="9"/>
        <v>4500</v>
      </c>
      <c r="G311" s="107">
        <v>44789.0</v>
      </c>
    </row>
    <row r="312">
      <c r="C312" s="104" t="s">
        <v>267</v>
      </c>
      <c r="D312" s="105">
        <v>6.0</v>
      </c>
      <c r="E312" s="105">
        <v>200.0</v>
      </c>
      <c r="F312" s="106">
        <f t="shared" si="9"/>
        <v>1200</v>
      </c>
      <c r="G312" s="107">
        <v>44790.0</v>
      </c>
    </row>
    <row r="313">
      <c r="C313" s="104" t="s">
        <v>148</v>
      </c>
      <c r="D313" s="105">
        <v>10.0</v>
      </c>
      <c r="E313" s="105">
        <v>120.0</v>
      </c>
      <c r="F313" s="106">
        <f t="shared" si="9"/>
        <v>1200</v>
      </c>
      <c r="G313" s="107">
        <v>44790.0</v>
      </c>
    </row>
    <row r="314">
      <c r="C314" s="104" t="s">
        <v>256</v>
      </c>
      <c r="D314" s="105">
        <v>2.0</v>
      </c>
      <c r="E314" s="105">
        <v>250.0</v>
      </c>
      <c r="F314" s="106">
        <f t="shared" si="9"/>
        <v>500</v>
      </c>
      <c r="G314" s="107">
        <v>44790.0</v>
      </c>
    </row>
    <row r="315">
      <c r="C315" s="104" t="s">
        <v>268</v>
      </c>
      <c r="D315" s="105">
        <v>8.0</v>
      </c>
      <c r="E315" s="105">
        <v>400.0</v>
      </c>
      <c r="F315" s="106">
        <f t="shared" si="9"/>
        <v>3200</v>
      </c>
      <c r="G315" s="107">
        <v>44791.0</v>
      </c>
    </row>
    <row r="316">
      <c r="C316" s="104" t="s">
        <v>168</v>
      </c>
      <c r="D316" s="105">
        <v>0.5</v>
      </c>
      <c r="E316" s="105">
        <v>2000.0</v>
      </c>
      <c r="F316" s="106">
        <f t="shared" si="9"/>
        <v>1000</v>
      </c>
      <c r="G316" s="107">
        <v>44791.0</v>
      </c>
    </row>
    <row r="317">
      <c r="C317" s="104" t="s">
        <v>269</v>
      </c>
      <c r="D317" s="105">
        <v>6.0</v>
      </c>
      <c r="E317" s="105">
        <v>100.0</v>
      </c>
      <c r="F317" s="106">
        <f t="shared" si="9"/>
        <v>600</v>
      </c>
      <c r="G317" s="107">
        <v>44791.0</v>
      </c>
    </row>
    <row r="318">
      <c r="C318" s="104" t="s">
        <v>270</v>
      </c>
      <c r="D318" s="105">
        <v>6.0</v>
      </c>
      <c r="E318" s="105">
        <v>100.0</v>
      </c>
      <c r="F318" s="106">
        <f t="shared" si="9"/>
        <v>600</v>
      </c>
      <c r="G318" s="107">
        <v>44791.0</v>
      </c>
    </row>
    <row r="319">
      <c r="C319" s="104" t="s">
        <v>271</v>
      </c>
      <c r="D319" s="105">
        <v>4.0</v>
      </c>
      <c r="E319" s="105">
        <v>150.0</v>
      </c>
      <c r="F319" s="106">
        <f t="shared" si="9"/>
        <v>600</v>
      </c>
      <c r="G319" s="107">
        <v>44791.0</v>
      </c>
    </row>
    <row r="320">
      <c r="C320" s="104" t="s">
        <v>272</v>
      </c>
      <c r="D320" s="105">
        <v>1.0</v>
      </c>
      <c r="E320" s="105">
        <v>850.0</v>
      </c>
      <c r="F320" s="106">
        <f t="shared" si="9"/>
        <v>850</v>
      </c>
      <c r="G320" s="107">
        <v>44791.0</v>
      </c>
    </row>
    <row r="321">
      <c r="C321" s="104" t="s">
        <v>143</v>
      </c>
      <c r="D321" s="105">
        <v>20.0</v>
      </c>
      <c r="E321" s="105">
        <v>55.0</v>
      </c>
      <c r="F321" s="106">
        <f t="shared" si="9"/>
        <v>1100</v>
      </c>
      <c r="G321" s="107">
        <v>44791.0</v>
      </c>
    </row>
    <row r="322">
      <c r="C322" s="104" t="s">
        <v>273</v>
      </c>
      <c r="D322" s="105">
        <v>0.5</v>
      </c>
      <c r="E322" s="105">
        <v>1000.0</v>
      </c>
      <c r="F322" s="106">
        <f t="shared" si="9"/>
        <v>500</v>
      </c>
      <c r="G322" s="107">
        <v>44791.0</v>
      </c>
    </row>
    <row r="323">
      <c r="C323" s="104" t="s">
        <v>216</v>
      </c>
      <c r="D323" s="105">
        <v>10.0</v>
      </c>
      <c r="E323" s="105">
        <v>25.0</v>
      </c>
      <c r="F323" s="106">
        <f t="shared" si="9"/>
        <v>250</v>
      </c>
      <c r="G323" s="107">
        <v>44791.0</v>
      </c>
    </row>
    <row r="324">
      <c r="C324" s="104" t="s">
        <v>274</v>
      </c>
      <c r="D324" s="105">
        <v>1.0</v>
      </c>
      <c r="E324" s="105">
        <v>350.0</v>
      </c>
      <c r="F324" s="106">
        <f t="shared" si="9"/>
        <v>350</v>
      </c>
      <c r="G324" s="107">
        <v>44791.0</v>
      </c>
    </row>
    <row r="325">
      <c r="C325" s="104" t="s">
        <v>275</v>
      </c>
      <c r="D325" s="105">
        <v>1.0</v>
      </c>
      <c r="E325" s="105">
        <v>150.0</v>
      </c>
      <c r="F325" s="106">
        <f t="shared" si="9"/>
        <v>150</v>
      </c>
      <c r="G325" s="107">
        <v>44791.0</v>
      </c>
    </row>
    <row r="326">
      <c r="C326" s="104" t="s">
        <v>148</v>
      </c>
      <c r="D326" s="105">
        <v>10.0</v>
      </c>
      <c r="E326" s="105">
        <v>120.0</v>
      </c>
      <c r="F326" s="106">
        <f t="shared" si="9"/>
        <v>1200</v>
      </c>
      <c r="G326" s="107">
        <v>44791.0</v>
      </c>
    </row>
    <row r="327">
      <c r="C327" s="104" t="s">
        <v>93</v>
      </c>
      <c r="D327" s="105">
        <v>3.0</v>
      </c>
      <c r="E327" s="105">
        <v>150.0</v>
      </c>
      <c r="F327" s="106">
        <f t="shared" si="9"/>
        <v>450</v>
      </c>
      <c r="G327" s="107">
        <v>44791.0</v>
      </c>
    </row>
    <row r="328">
      <c r="C328" s="104" t="s">
        <v>276</v>
      </c>
      <c r="D328" s="105">
        <v>1.5</v>
      </c>
      <c r="E328" s="105">
        <v>400.0</v>
      </c>
      <c r="F328" s="106">
        <f t="shared" si="9"/>
        <v>600</v>
      </c>
      <c r="G328" s="107">
        <v>44791.0</v>
      </c>
    </row>
    <row r="329">
      <c r="C329" s="104" t="s">
        <v>144</v>
      </c>
      <c r="D329" s="105">
        <v>1.0</v>
      </c>
      <c r="E329" s="105">
        <v>750.0</v>
      </c>
      <c r="F329" s="106">
        <f t="shared" si="9"/>
        <v>750</v>
      </c>
      <c r="G329" s="107">
        <v>44791.0</v>
      </c>
    </row>
    <row r="330">
      <c r="C330" s="104" t="s">
        <v>148</v>
      </c>
      <c r="D330" s="105">
        <v>25.0</v>
      </c>
      <c r="E330" s="105">
        <v>120.0</v>
      </c>
      <c r="F330" s="106">
        <f t="shared" si="9"/>
        <v>3000</v>
      </c>
      <c r="G330" s="107">
        <v>44792.0</v>
      </c>
    </row>
    <row r="331">
      <c r="C331" s="104" t="s">
        <v>114</v>
      </c>
      <c r="D331" s="105">
        <v>2.0</v>
      </c>
      <c r="E331" s="105">
        <v>750.0</v>
      </c>
      <c r="F331" s="106">
        <f t="shared" si="9"/>
        <v>1500</v>
      </c>
      <c r="G331" s="107">
        <v>44792.0</v>
      </c>
    </row>
    <row r="332">
      <c r="C332" s="104" t="s">
        <v>170</v>
      </c>
      <c r="D332" s="105">
        <v>2.0</v>
      </c>
      <c r="E332" s="105">
        <v>150.0</v>
      </c>
      <c r="F332" s="106">
        <f t="shared" si="9"/>
        <v>300</v>
      </c>
      <c r="G332" s="107">
        <v>44792.0</v>
      </c>
    </row>
    <row r="333">
      <c r="C333" s="104" t="s">
        <v>171</v>
      </c>
      <c r="D333" s="105">
        <v>1.0</v>
      </c>
      <c r="E333" s="105">
        <v>200.0</v>
      </c>
      <c r="F333" s="106">
        <f t="shared" si="9"/>
        <v>200</v>
      </c>
      <c r="G333" s="107">
        <v>44792.0</v>
      </c>
    </row>
    <row r="334">
      <c r="C334" s="104" t="s">
        <v>107</v>
      </c>
      <c r="D334" s="105">
        <v>1.0</v>
      </c>
      <c r="E334" s="105">
        <v>50.0</v>
      </c>
      <c r="F334" s="106">
        <f t="shared" si="9"/>
        <v>50</v>
      </c>
      <c r="G334" s="107">
        <v>44792.0</v>
      </c>
    </row>
    <row r="335">
      <c r="C335" s="104" t="s">
        <v>143</v>
      </c>
      <c r="D335" s="105">
        <v>1.0</v>
      </c>
      <c r="E335" s="105">
        <v>50.0</v>
      </c>
      <c r="F335" s="106">
        <f t="shared" si="9"/>
        <v>50</v>
      </c>
      <c r="G335" s="107">
        <v>44792.0</v>
      </c>
    </row>
    <row r="336">
      <c r="C336" s="104" t="s">
        <v>172</v>
      </c>
      <c r="D336" s="105">
        <v>2.0</v>
      </c>
      <c r="E336" s="105">
        <v>50.0</v>
      </c>
      <c r="F336" s="106">
        <f t="shared" si="9"/>
        <v>100</v>
      </c>
      <c r="G336" s="107">
        <v>44792.0</v>
      </c>
    </row>
    <row r="337">
      <c r="C337" s="104" t="s">
        <v>277</v>
      </c>
      <c r="D337" s="105">
        <v>3.0</v>
      </c>
      <c r="E337" s="105">
        <v>50.0</v>
      </c>
      <c r="F337" s="106">
        <f t="shared" si="9"/>
        <v>150</v>
      </c>
      <c r="G337" s="107">
        <v>44792.0</v>
      </c>
    </row>
    <row r="338">
      <c r="C338" s="104" t="s">
        <v>278</v>
      </c>
      <c r="D338" s="105">
        <v>1.0</v>
      </c>
      <c r="E338" s="105">
        <v>100.0</v>
      </c>
      <c r="F338" s="106">
        <f t="shared" si="9"/>
        <v>100</v>
      </c>
      <c r="G338" s="107">
        <v>44792.0</v>
      </c>
    </row>
    <row r="339">
      <c r="C339" s="104" t="s">
        <v>243</v>
      </c>
      <c r="D339" s="105">
        <v>3.0</v>
      </c>
      <c r="E339" s="105">
        <v>200.0</v>
      </c>
      <c r="F339" s="106">
        <f t="shared" si="9"/>
        <v>600</v>
      </c>
      <c r="G339" s="107">
        <v>44792.0</v>
      </c>
    </row>
    <row r="340">
      <c r="C340" s="104" t="s">
        <v>149</v>
      </c>
      <c r="D340" s="105">
        <v>12.0</v>
      </c>
      <c r="E340" s="105">
        <v>100.0</v>
      </c>
      <c r="F340" s="106">
        <f t="shared" si="9"/>
        <v>1200</v>
      </c>
      <c r="G340" s="107">
        <v>44792.0</v>
      </c>
    </row>
    <row r="341">
      <c r="C341" s="104" t="s">
        <v>273</v>
      </c>
      <c r="D341" s="105">
        <v>1.0</v>
      </c>
      <c r="E341" s="105">
        <v>200.0</v>
      </c>
      <c r="F341" s="106">
        <f t="shared" si="9"/>
        <v>200</v>
      </c>
      <c r="G341" s="107">
        <v>44792.0</v>
      </c>
    </row>
    <row r="342">
      <c r="C342" s="104" t="s">
        <v>164</v>
      </c>
      <c r="D342" s="105">
        <v>5.0</v>
      </c>
      <c r="E342" s="105">
        <v>100.0</v>
      </c>
      <c r="F342" s="106">
        <f t="shared" si="9"/>
        <v>500</v>
      </c>
      <c r="G342" s="107">
        <v>44792.0</v>
      </c>
    </row>
    <row r="343">
      <c r="C343" s="104" t="s">
        <v>268</v>
      </c>
      <c r="D343" s="105">
        <v>3.0</v>
      </c>
      <c r="E343" s="105">
        <v>400.0</v>
      </c>
      <c r="F343" s="106">
        <f t="shared" si="9"/>
        <v>1200</v>
      </c>
      <c r="G343" s="107">
        <v>44792.0</v>
      </c>
    </row>
    <row r="344">
      <c r="C344" s="104" t="s">
        <v>279</v>
      </c>
      <c r="D344" s="105">
        <v>563.0</v>
      </c>
      <c r="E344" s="105">
        <v>50.0</v>
      </c>
      <c r="F344" s="106">
        <f t="shared" si="9"/>
        <v>28150</v>
      </c>
      <c r="G344" s="107">
        <v>44792.0</v>
      </c>
    </row>
    <row r="345">
      <c r="C345" s="104" t="s">
        <v>148</v>
      </c>
      <c r="D345" s="105">
        <v>10.0</v>
      </c>
      <c r="E345" s="105">
        <v>120.0</v>
      </c>
      <c r="F345" s="106">
        <f t="shared" si="9"/>
        <v>1200</v>
      </c>
      <c r="G345" s="107">
        <v>44793.0</v>
      </c>
    </row>
    <row r="346">
      <c r="C346" s="104" t="s">
        <v>113</v>
      </c>
      <c r="D346" s="105">
        <v>2.0</v>
      </c>
      <c r="E346" s="105">
        <v>450.0</v>
      </c>
      <c r="F346" s="106">
        <f t="shared" si="9"/>
        <v>900</v>
      </c>
      <c r="G346" s="107">
        <v>44793.0</v>
      </c>
    </row>
    <row r="347">
      <c r="C347" s="104" t="s">
        <v>147</v>
      </c>
      <c r="D347" s="105">
        <v>1.0</v>
      </c>
      <c r="E347" s="105">
        <v>120.0</v>
      </c>
      <c r="F347" s="106">
        <f t="shared" si="9"/>
        <v>120</v>
      </c>
      <c r="G347" s="107">
        <v>44793.0</v>
      </c>
    </row>
    <row r="348">
      <c r="C348" s="104" t="s">
        <v>280</v>
      </c>
      <c r="D348" s="105">
        <v>10.0</v>
      </c>
      <c r="E348" s="105">
        <v>20.0</v>
      </c>
      <c r="F348" s="106">
        <f t="shared" si="9"/>
        <v>200</v>
      </c>
      <c r="G348" s="107">
        <v>44793.0</v>
      </c>
    </row>
    <row r="349">
      <c r="C349" s="104" t="s">
        <v>175</v>
      </c>
      <c r="D349" s="105">
        <v>2.0</v>
      </c>
      <c r="E349" s="105">
        <v>180.0</v>
      </c>
      <c r="F349" s="106">
        <f t="shared" si="9"/>
        <v>360</v>
      </c>
      <c r="G349" s="107">
        <v>44793.0</v>
      </c>
    </row>
    <row r="350">
      <c r="C350" s="104" t="s">
        <v>281</v>
      </c>
      <c r="D350" s="105">
        <v>1.0</v>
      </c>
      <c r="E350" s="105">
        <v>1500.0</v>
      </c>
      <c r="F350" s="106">
        <f t="shared" si="9"/>
        <v>1500</v>
      </c>
      <c r="G350" s="107">
        <v>44793.0</v>
      </c>
    </row>
    <row r="351">
      <c r="C351" s="104" t="s">
        <v>282</v>
      </c>
      <c r="D351" s="105">
        <v>4.0</v>
      </c>
      <c r="E351" s="105">
        <v>25.0</v>
      </c>
      <c r="F351" s="106">
        <f t="shared" si="9"/>
        <v>100</v>
      </c>
      <c r="G351" s="107">
        <v>44793.0</v>
      </c>
    </row>
    <row r="352">
      <c r="C352" s="104" t="s">
        <v>128</v>
      </c>
      <c r="D352" s="105">
        <v>1.0</v>
      </c>
      <c r="E352" s="105">
        <v>35.0</v>
      </c>
      <c r="F352" s="106">
        <f t="shared" si="9"/>
        <v>35</v>
      </c>
      <c r="G352" s="107">
        <v>44793.0</v>
      </c>
    </row>
    <row r="353">
      <c r="C353" s="104" t="s">
        <v>283</v>
      </c>
      <c r="D353" s="105">
        <v>3.0</v>
      </c>
      <c r="E353" s="105">
        <v>70.0</v>
      </c>
      <c r="F353" s="106">
        <f t="shared" si="9"/>
        <v>210</v>
      </c>
      <c r="G353" s="107">
        <v>44793.0</v>
      </c>
    </row>
    <row r="354">
      <c r="C354" s="104" t="s">
        <v>284</v>
      </c>
      <c r="D354" s="105"/>
      <c r="E354" s="105"/>
      <c r="F354" s="114">
        <v>11000.0</v>
      </c>
      <c r="G354" s="107">
        <v>44793.0</v>
      </c>
    </row>
    <row r="355">
      <c r="C355" s="104"/>
      <c r="D355" s="105"/>
      <c r="E355" s="105"/>
      <c r="F355" s="106">
        <f t="shared" ref="F355:F356" si="10">E355*D355</f>
        <v>0</v>
      </c>
      <c r="G355" s="107"/>
    </row>
    <row r="356">
      <c r="C356" s="104"/>
      <c r="D356" s="105"/>
      <c r="E356" s="105"/>
      <c r="F356" s="106">
        <f t="shared" si="10"/>
        <v>0</v>
      </c>
      <c r="G356" s="107"/>
    </row>
    <row r="357">
      <c r="C357" s="104" t="s">
        <v>285</v>
      </c>
      <c r="D357" s="105"/>
      <c r="E357" s="105"/>
      <c r="F357" s="114">
        <v>-268000.0</v>
      </c>
      <c r="G357" s="107"/>
      <c r="H357" s="115">
        <v>268000.0</v>
      </c>
    </row>
    <row r="358">
      <c r="C358" s="104" t="s">
        <v>286</v>
      </c>
      <c r="D358" s="105">
        <v>3.0</v>
      </c>
      <c r="E358" s="105">
        <v>1800.0</v>
      </c>
      <c r="F358" s="106">
        <f>E358*D358</f>
        <v>5400</v>
      </c>
      <c r="G358" s="107">
        <v>44777.0</v>
      </c>
    </row>
    <row r="359">
      <c r="C359" s="120"/>
      <c r="D359" s="120"/>
      <c r="E359" s="120"/>
      <c r="F359" s="121">
        <f>SUM(F3:F358)</f>
        <v>594310</v>
      </c>
      <c r="G359" s="120"/>
    </row>
    <row r="360">
      <c r="C360" s="122"/>
      <c r="D360" s="122"/>
      <c r="E360" s="122"/>
      <c r="F360" s="122"/>
      <c r="G360" s="122"/>
    </row>
    <row r="361">
      <c r="C361" s="122"/>
      <c r="D361" s="122"/>
      <c r="E361" s="122"/>
      <c r="F361" s="122"/>
      <c r="G361" s="122"/>
    </row>
    <row r="362">
      <c r="C362" s="122"/>
      <c r="D362" s="122"/>
      <c r="E362" s="122"/>
      <c r="F362" s="122"/>
      <c r="G362" s="122"/>
    </row>
    <row r="363">
      <c r="C363" s="122"/>
      <c r="D363" s="122"/>
      <c r="E363" s="122"/>
      <c r="F363" s="122"/>
      <c r="G363" s="122"/>
    </row>
    <row r="364">
      <c r="C364" s="122"/>
      <c r="D364" s="122"/>
      <c r="E364" s="122"/>
      <c r="F364" s="122"/>
      <c r="G364" s="122"/>
    </row>
    <row r="365">
      <c r="C365" s="122"/>
      <c r="D365" s="122"/>
      <c r="E365" s="122"/>
      <c r="F365" s="122"/>
      <c r="G365" s="122"/>
    </row>
    <row r="366">
      <c r="C366" s="122"/>
      <c r="D366" s="122"/>
      <c r="E366" s="122"/>
      <c r="F366" s="122"/>
      <c r="G366" s="122"/>
    </row>
    <row r="367">
      <c r="C367" s="122"/>
      <c r="D367" s="122"/>
      <c r="E367" s="122"/>
      <c r="F367" s="122"/>
      <c r="G367" s="122"/>
    </row>
    <row r="368">
      <c r="C368" s="122"/>
      <c r="D368" s="122"/>
      <c r="E368" s="122"/>
      <c r="F368" s="122"/>
      <c r="G368" s="122"/>
    </row>
    <row r="369">
      <c r="C369" s="122"/>
      <c r="D369" s="122"/>
      <c r="E369" s="122"/>
      <c r="F369" s="122"/>
      <c r="G369" s="122"/>
    </row>
    <row r="370">
      <c r="C370" s="122"/>
      <c r="D370" s="122"/>
      <c r="E370" s="122"/>
      <c r="F370" s="122"/>
      <c r="G370" s="122"/>
    </row>
    <row r="371">
      <c r="C371" s="122"/>
      <c r="D371" s="122"/>
      <c r="E371" s="122"/>
      <c r="F371" s="122"/>
      <c r="G371" s="122"/>
    </row>
    <row r="372">
      <c r="C372" s="122"/>
      <c r="D372" s="122"/>
      <c r="E372" s="122"/>
      <c r="F372" s="122"/>
      <c r="G372" s="122"/>
    </row>
    <row r="373">
      <c r="C373" s="122"/>
      <c r="D373" s="122"/>
      <c r="E373" s="122"/>
      <c r="F373" s="122"/>
      <c r="G373" s="122"/>
    </row>
    <row r="374">
      <c r="C374" s="122"/>
      <c r="D374" s="122"/>
      <c r="E374" s="122"/>
      <c r="F374" s="122"/>
      <c r="G374" s="122"/>
    </row>
    <row r="375">
      <c r="C375" s="122"/>
      <c r="D375" s="122"/>
      <c r="E375" s="122"/>
      <c r="F375" s="122"/>
      <c r="G375" s="122"/>
    </row>
    <row r="376">
      <c r="C376" s="122"/>
      <c r="D376" s="122"/>
      <c r="E376" s="122"/>
      <c r="F376" s="122"/>
      <c r="G376" s="122"/>
    </row>
    <row r="377">
      <c r="C377" s="122"/>
      <c r="D377" s="122"/>
      <c r="E377" s="122"/>
      <c r="F377" s="122"/>
      <c r="G377" s="122"/>
    </row>
    <row r="378">
      <c r="C378" s="122"/>
      <c r="D378" s="122"/>
      <c r="E378" s="122"/>
      <c r="F378" s="122"/>
      <c r="G378" s="122"/>
    </row>
    <row r="379">
      <c r="C379" s="122"/>
      <c r="D379" s="122"/>
      <c r="E379" s="122"/>
      <c r="F379" s="122"/>
      <c r="G379" s="122"/>
    </row>
    <row r="380">
      <c r="C380" s="122"/>
      <c r="D380" s="122"/>
      <c r="E380" s="122"/>
      <c r="F380" s="122"/>
      <c r="G380" s="122"/>
    </row>
    <row r="381">
      <c r="C381" s="122"/>
      <c r="D381" s="122"/>
      <c r="E381" s="122"/>
      <c r="F381" s="122"/>
      <c r="G381" s="122"/>
    </row>
    <row r="382">
      <c r="C382" s="122"/>
      <c r="D382" s="122"/>
      <c r="E382" s="122"/>
      <c r="F382" s="122"/>
      <c r="G382" s="122"/>
    </row>
    <row r="383">
      <c r="C383" s="122"/>
      <c r="D383" s="122"/>
      <c r="E383" s="122"/>
      <c r="F383" s="122"/>
      <c r="G383" s="1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13"/>
    <col customWidth="1" min="7" max="7" width="30.63"/>
    <col customWidth="1" min="8" max="8" width="20.5"/>
    <col customWidth="1" min="9" max="9" width="35.13"/>
  </cols>
  <sheetData>
    <row r="11">
      <c r="E11" s="9"/>
      <c r="F11" s="123" t="s">
        <v>287</v>
      </c>
      <c r="G11" s="123" t="s">
        <v>4</v>
      </c>
      <c r="H11" s="123" t="s">
        <v>288</v>
      </c>
      <c r="I11" s="22" t="s">
        <v>289</v>
      </c>
    </row>
    <row r="12">
      <c r="E12" s="28">
        <v>1.0</v>
      </c>
      <c r="F12" s="85" t="s">
        <v>290</v>
      </c>
      <c r="G12" s="15">
        <f>'Pointage '!C35*1</f>
        <v>12000</v>
      </c>
      <c r="H12" s="12">
        <v>12000.0</v>
      </c>
      <c r="I12" s="15">
        <f t="shared" ref="I12:I23" si="1">G12-H12</f>
        <v>0</v>
      </c>
    </row>
    <row r="13">
      <c r="E13" s="28">
        <v>2.0</v>
      </c>
      <c r="F13" s="85" t="s">
        <v>39</v>
      </c>
      <c r="G13" s="15">
        <f>'Pointage '!D35*1</f>
        <v>24000</v>
      </c>
      <c r="H13" s="12">
        <v>24000.0</v>
      </c>
      <c r="I13" s="15">
        <f t="shared" si="1"/>
        <v>0</v>
      </c>
    </row>
    <row r="14">
      <c r="E14" s="28">
        <v>3.0</v>
      </c>
      <c r="F14" s="85" t="s">
        <v>40</v>
      </c>
      <c r="G14" s="15">
        <f>'Pointage '!E35*1</f>
        <v>20000</v>
      </c>
      <c r="H14" s="12">
        <v>20000.0</v>
      </c>
      <c r="I14" s="15">
        <f t="shared" si="1"/>
        <v>0</v>
      </c>
    </row>
    <row r="15">
      <c r="E15" s="28">
        <v>4.0</v>
      </c>
      <c r="F15" s="85" t="s">
        <v>41</v>
      </c>
      <c r="G15" s="15">
        <f>'Pointage '!F35*1</f>
        <v>15012</v>
      </c>
      <c r="H15" s="12">
        <v>15000.0</v>
      </c>
      <c r="I15" s="15">
        <f t="shared" si="1"/>
        <v>12</v>
      </c>
    </row>
    <row r="16">
      <c r="E16" s="28">
        <v>5.0</v>
      </c>
      <c r="F16" s="85" t="s">
        <v>291</v>
      </c>
      <c r="G16" s="15">
        <f>'Pointage '!G35*1</f>
        <v>17000</v>
      </c>
      <c r="H16" s="12">
        <v>17000.0</v>
      </c>
      <c r="I16" s="15">
        <f t="shared" si="1"/>
        <v>0</v>
      </c>
    </row>
    <row r="17">
      <c r="E17" s="28">
        <v>6.0</v>
      </c>
      <c r="F17" s="85" t="s">
        <v>292</v>
      </c>
      <c r="G17" s="15">
        <f>'Pointage '!H35*1</f>
        <v>18000</v>
      </c>
      <c r="H17" s="12">
        <v>18000.0</v>
      </c>
      <c r="I17" s="15">
        <f t="shared" si="1"/>
        <v>0</v>
      </c>
      <c r="J17" s="115" t="s">
        <v>293</v>
      </c>
    </row>
    <row r="18">
      <c r="E18" s="28">
        <v>7.0</v>
      </c>
      <c r="F18" s="85" t="s">
        <v>294</v>
      </c>
      <c r="G18" s="15">
        <f>'Pointage '!I35*1</f>
        <v>12000</v>
      </c>
      <c r="H18" s="12">
        <v>12000.0</v>
      </c>
      <c r="I18" s="15">
        <f t="shared" si="1"/>
        <v>0</v>
      </c>
      <c r="J18" s="115" t="s">
        <v>295</v>
      </c>
    </row>
    <row r="19">
      <c r="E19" s="28">
        <v>8.0</v>
      </c>
      <c r="F19" s="85" t="s">
        <v>296</v>
      </c>
      <c r="G19" s="15">
        <f>'Pointage '!J35*1</f>
        <v>22000</v>
      </c>
      <c r="H19" s="12">
        <v>22000.0</v>
      </c>
      <c r="I19" s="15">
        <f t="shared" si="1"/>
        <v>0</v>
      </c>
    </row>
    <row r="20">
      <c r="E20" s="28">
        <v>9.0</v>
      </c>
      <c r="F20" s="85" t="s">
        <v>297</v>
      </c>
      <c r="G20" s="15">
        <f>'Pointage '!K35*1</f>
        <v>14000</v>
      </c>
      <c r="H20" s="12">
        <v>14000.0</v>
      </c>
      <c r="I20" s="15">
        <f t="shared" si="1"/>
        <v>0</v>
      </c>
      <c r="J20" s="115">
        <v>1850.0</v>
      </c>
    </row>
    <row r="21">
      <c r="E21" s="28">
        <v>10.0</v>
      </c>
      <c r="F21" s="85" t="s">
        <v>298</v>
      </c>
      <c r="G21" s="15">
        <f>'Pointage '!L35*1</f>
        <v>9000</v>
      </c>
      <c r="H21" s="12">
        <v>9000.0</v>
      </c>
      <c r="I21" s="15">
        <f t="shared" si="1"/>
        <v>0</v>
      </c>
    </row>
    <row r="22">
      <c r="E22" s="28">
        <v>11.0</v>
      </c>
      <c r="F22" s="85" t="s">
        <v>48</v>
      </c>
      <c r="G22" s="15">
        <f>'Pointage '!M35*1</f>
        <v>18000</v>
      </c>
      <c r="H22" s="12">
        <v>18000.0</v>
      </c>
      <c r="I22" s="15">
        <f t="shared" si="1"/>
        <v>0</v>
      </c>
    </row>
    <row r="23">
      <c r="E23" s="28">
        <v>12.0</v>
      </c>
      <c r="F23" s="85" t="s">
        <v>49</v>
      </c>
      <c r="G23" s="15">
        <f>'Pointage '!N35*1</f>
        <v>6600</v>
      </c>
      <c r="H23" s="12">
        <v>6600.0</v>
      </c>
      <c r="I23" s="15">
        <f t="shared" si="1"/>
        <v>0</v>
      </c>
      <c r="J23" s="115" t="s">
        <v>299</v>
      </c>
    </row>
    <row r="24">
      <c r="E24" s="1"/>
      <c r="F24" s="124" t="s">
        <v>300</v>
      </c>
      <c r="G24" s="21">
        <f t="shared" ref="G24:I24" si="2">SUM(G12:G23)</f>
        <v>187612</v>
      </c>
      <c r="H24" s="101">
        <f t="shared" si="2"/>
        <v>187600</v>
      </c>
      <c r="I24" s="19">
        <f t="shared" si="2"/>
        <v>12</v>
      </c>
    </row>
    <row r="25">
      <c r="E25" s="1"/>
      <c r="F25" s="24">
        <f>G24-H24</f>
        <v>12</v>
      </c>
      <c r="G25" s="1"/>
      <c r="H25" s="1"/>
      <c r="I25" s="125">
        <f>G25-H25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38"/>
    <col customWidth="1" min="9" max="9" width="25.13"/>
    <col customWidth="1" min="10" max="10" width="22.88"/>
  </cols>
  <sheetData>
    <row r="13">
      <c r="H13" s="9"/>
      <c r="I13" s="1"/>
      <c r="J13" s="1"/>
    </row>
    <row r="14">
      <c r="H14" s="1"/>
      <c r="I14" s="18" t="s">
        <v>36</v>
      </c>
      <c r="J14" s="64" t="s">
        <v>301</v>
      </c>
    </row>
    <row r="15">
      <c r="H15" s="22" t="s">
        <v>2</v>
      </c>
      <c r="I15" s="21">
        <v>2230000.0</v>
      </c>
      <c r="J15" s="29">
        <v>1332000.0</v>
      </c>
    </row>
    <row r="16">
      <c r="H16" s="22" t="s">
        <v>3</v>
      </c>
      <c r="I16" s="21">
        <v>990000.0</v>
      </c>
      <c r="J16" s="29">
        <v>594000.0</v>
      </c>
    </row>
    <row r="17">
      <c r="H17" s="22" t="s">
        <v>302</v>
      </c>
      <c r="I17" s="21">
        <v>330000.0</v>
      </c>
      <c r="J17" s="29">
        <v>188000.0</v>
      </c>
    </row>
    <row r="18">
      <c r="H18" s="22" t="s">
        <v>5</v>
      </c>
      <c r="I18" s="21">
        <v>110000.0</v>
      </c>
      <c r="J18" s="21">
        <v>110000.0</v>
      </c>
    </row>
    <row r="19">
      <c r="H19" s="22" t="s">
        <v>303</v>
      </c>
      <c r="I19" s="21">
        <v>800000.0</v>
      </c>
      <c r="J19" s="29">
        <v>440000.0</v>
      </c>
    </row>
    <row r="20">
      <c r="H20" s="9"/>
      <c r="I20" s="9"/>
      <c r="J20" s="9"/>
    </row>
    <row r="21">
      <c r="H21" s="9"/>
      <c r="I21" s="9"/>
      <c r="J21" s="9"/>
    </row>
    <row r="22">
      <c r="H22" s="9"/>
      <c r="I22" s="9"/>
      <c r="J22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0"/>
    <col customWidth="1" min="8" max="8" width="20.88"/>
    <col customWidth="1" min="9" max="9" width="23.0"/>
    <col customWidth="1" min="10" max="10" width="22.13"/>
  </cols>
  <sheetData>
    <row r="10">
      <c r="G10" s="1"/>
      <c r="H10" s="18" t="s">
        <v>304</v>
      </c>
      <c r="I10" s="18" t="s">
        <v>36</v>
      </c>
      <c r="J10" s="64" t="s">
        <v>301</v>
      </c>
    </row>
    <row r="11">
      <c r="G11" s="22" t="s">
        <v>2</v>
      </c>
      <c r="H11" s="21">
        <v>1410000.0</v>
      </c>
      <c r="I11" s="21">
        <v>2230000.0</v>
      </c>
      <c r="J11" s="29">
        <v>1332000.0</v>
      </c>
    </row>
    <row r="12">
      <c r="G12" s="22" t="s">
        <v>3</v>
      </c>
      <c r="H12" s="21">
        <v>717000.0</v>
      </c>
      <c r="I12" s="21">
        <v>990000.0</v>
      </c>
      <c r="J12" s="29">
        <v>594000.0</v>
      </c>
    </row>
    <row r="13">
      <c r="G13" s="22" t="s">
        <v>302</v>
      </c>
      <c r="H13" s="21">
        <v>321000.0</v>
      </c>
      <c r="I13" s="21">
        <v>330000.0</v>
      </c>
      <c r="J13" s="29">
        <v>188000.0</v>
      </c>
    </row>
    <row r="14">
      <c r="G14" s="22" t="s">
        <v>5</v>
      </c>
      <c r="H14" s="21">
        <v>110000.0</v>
      </c>
      <c r="I14" s="21">
        <v>110000.0</v>
      </c>
      <c r="J14" s="21">
        <v>110000.0</v>
      </c>
    </row>
    <row r="15">
      <c r="G15" s="22" t="s">
        <v>303</v>
      </c>
      <c r="H15" s="21">
        <v>260000.0</v>
      </c>
      <c r="I15" s="21">
        <v>800000.0</v>
      </c>
      <c r="J15" s="29">
        <v>440000.0</v>
      </c>
    </row>
  </sheetData>
  <drawing r:id="rId1"/>
</worksheet>
</file>