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 " sheetId="2" r:id="rId5"/>
    <sheet state="visible" name="Les charges" sheetId="3" r:id="rId6"/>
    <sheet state="visible" name="Salaires" sheetId="4" r:id="rId7"/>
    <sheet state="visible" name="Feuille 5" sheetId="5" r:id="rId8"/>
  </sheets>
  <definedNames>
    <definedName hidden="1" localSheetId="2" name="_xlnm._FilterDatabase">'Les charges'!$E$1:$E$1309</definedName>
  </definedNames>
  <calcPr/>
</workbook>
</file>

<file path=xl/sharedStrings.xml><?xml version="1.0" encoding="utf-8"?>
<sst xmlns="http://schemas.openxmlformats.org/spreadsheetml/2006/main" count="540" uniqueCount="317">
  <si>
    <t>Date</t>
  </si>
  <si>
    <t>Recette Septembre 2023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</si>
  <si>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</si>
  <si>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</si>
  <si>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</si>
  <si>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</si>
  <si>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</si>
  <si>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</si>
  <si>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</si>
  <si>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Vendredi</t>
  </si>
  <si>
    <t>Samedi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</si>
  <si>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</si>
  <si>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</si>
  <si>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</si>
  <si>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</si>
  <si>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Dimanche</t>
  </si>
  <si>
    <t>Lundi</t>
  </si>
  <si>
    <t>Mardi</t>
  </si>
  <si>
    <t xml:space="preserve">Moyenne des charges par jour </t>
  </si>
  <si>
    <t xml:space="preserve">Objectif </t>
  </si>
  <si>
    <t>Mercredi</t>
  </si>
  <si>
    <t>Jeudi</t>
  </si>
  <si>
    <t>²</t>
  </si>
  <si>
    <t xml:space="preserve">Cash restant </t>
  </si>
  <si>
    <t>Magasin</t>
  </si>
  <si>
    <t>Cash réel</t>
  </si>
  <si>
    <t>Mes dettes pour le magasin</t>
  </si>
  <si>
    <t>310000+30000</t>
  </si>
  <si>
    <t>loyer</t>
  </si>
  <si>
    <t>idir: 35000</t>
  </si>
  <si>
    <t>sofiane: 15000+2000+4000</t>
  </si>
  <si>
    <t xml:space="preserve">La caisse :   </t>
  </si>
  <si>
    <t>sifou 1520</t>
  </si>
  <si>
    <t>sofiane : 12000+2000 poel</t>
  </si>
  <si>
    <t>Bénéfice Mois de Novembre 2023+ loyer</t>
  </si>
  <si>
    <t>recette</t>
  </si>
  <si>
    <t xml:space="preserve">Bénéfice Mois de Novembre </t>
  </si>
  <si>
    <t>charges</t>
  </si>
  <si>
    <t xml:space="preserve">Loyer </t>
  </si>
  <si>
    <t>avances salaires</t>
  </si>
  <si>
    <t xml:space="preserve">Différence mois de Juin </t>
  </si>
  <si>
    <t>Chèque VMR</t>
  </si>
  <si>
    <t>la caisse</t>
  </si>
  <si>
    <t>Je dois donner à Sofiane</t>
  </si>
  <si>
    <t xml:space="preserve">chèque </t>
  </si>
  <si>
    <t xml:space="preserve">Différence objectif </t>
  </si>
  <si>
    <t xml:space="preserve">Sofiane caisse </t>
  </si>
  <si>
    <t xml:space="preserve">cache qui doit etre rester </t>
  </si>
  <si>
    <t>cache réel</t>
  </si>
  <si>
    <t>325000 cache + 20000da ccp+25000 khalida</t>
  </si>
  <si>
    <t xml:space="preserve">Différence du Totale </t>
  </si>
  <si>
    <t>mes dettes pour le magasin</t>
  </si>
  <si>
    <t xml:space="preserve">Les vendredis </t>
  </si>
  <si>
    <t>rest à payer</t>
  </si>
  <si>
    <t>-</t>
  </si>
  <si>
    <t xml:space="preserve">Lynda </t>
  </si>
  <si>
    <t xml:space="preserve">Hafida </t>
  </si>
  <si>
    <t>Djamila</t>
  </si>
  <si>
    <t>Youssera</t>
  </si>
  <si>
    <t>Yasmine vendeuse</t>
  </si>
  <si>
    <t>Kenza</t>
  </si>
  <si>
    <t>Yasmine</t>
  </si>
  <si>
    <t>Amina</t>
  </si>
  <si>
    <t>Fouzia</t>
  </si>
  <si>
    <t>Nadjet</t>
  </si>
  <si>
    <t>Samia</t>
  </si>
  <si>
    <t>Alia</t>
  </si>
  <si>
    <t>Fatiha</t>
  </si>
  <si>
    <t>Samira</t>
  </si>
  <si>
    <t>NadiaFemme de ménage</t>
  </si>
  <si>
    <t>Nadia</t>
  </si>
  <si>
    <t>Remarque</t>
  </si>
  <si>
    <t>Hafida s'est absenté pour RDV de médecin</t>
  </si>
  <si>
    <t>Hafida djate en retard pour les analyses</t>
  </si>
  <si>
    <t>0,5</t>
  </si>
  <si>
    <t xml:space="preserve">Hafida daret retard à cause du medecin </t>
  </si>
  <si>
    <t>Nadia + youssera + Amina khalitehom youkhouredjou bekeri</t>
  </si>
  <si>
    <t>Produit</t>
  </si>
  <si>
    <t>Quantité</t>
  </si>
  <si>
    <t xml:space="preserve">Prix unitaire </t>
  </si>
  <si>
    <t>Prix</t>
  </si>
  <si>
    <t>Date d'achat</t>
  </si>
  <si>
    <t>rechta</t>
  </si>
  <si>
    <t>Mois de Novembre</t>
  </si>
  <si>
    <t>poulet haché + blanc de poulet</t>
  </si>
  <si>
    <t>citron</t>
  </si>
  <si>
    <t>Bessel</t>
  </si>
  <si>
    <t>Olive noir+ coupé+vert</t>
  </si>
  <si>
    <t>épinards+ salade+ ail+ thym</t>
  </si>
  <si>
    <t>tomate fraiche</t>
  </si>
  <si>
    <t>isis</t>
  </si>
  <si>
    <t>fromage</t>
  </si>
  <si>
    <t>détergents</t>
  </si>
  <si>
    <t xml:space="preserve">la colle </t>
  </si>
  <si>
    <t xml:space="preserve">Maiis </t>
  </si>
  <si>
    <t>Thon 2kg</t>
  </si>
  <si>
    <t>fromage bidon 3,8kg</t>
  </si>
  <si>
    <t>lait en poudre</t>
  </si>
  <si>
    <t>huile</t>
  </si>
  <si>
    <t>sac poubelle</t>
  </si>
  <si>
    <t>Farine sim 1kg</t>
  </si>
  <si>
    <t>isis 5 litres</t>
  </si>
  <si>
    <t xml:space="preserve">feuilletine </t>
  </si>
  <si>
    <t xml:space="preserve">semoule bahlouli </t>
  </si>
  <si>
    <t>tofia caramel</t>
  </si>
  <si>
    <t>dragets</t>
  </si>
  <si>
    <t>quissetes</t>
  </si>
  <si>
    <t>farine 5kg</t>
  </si>
  <si>
    <t>oeufs</t>
  </si>
  <si>
    <t>Margarine fleurial 500g</t>
  </si>
  <si>
    <t>semen 1,8kg</t>
  </si>
  <si>
    <t>jus Tchina</t>
  </si>
  <si>
    <t>saray orange</t>
  </si>
  <si>
    <t>coca -fanta</t>
  </si>
  <si>
    <t>Eau mineral 0,5 litre</t>
  </si>
  <si>
    <t>eau mineral 1,5 litre</t>
  </si>
  <si>
    <t xml:space="preserve">Soda Slim  33cl </t>
  </si>
  <si>
    <t>gherss</t>
  </si>
  <si>
    <t>aluminium</t>
  </si>
  <si>
    <t>papier transparent</t>
  </si>
  <si>
    <t>maa zehar</t>
  </si>
  <si>
    <t>amande effilet</t>
  </si>
  <si>
    <t>confiture</t>
  </si>
  <si>
    <t>3akeri</t>
  </si>
  <si>
    <t xml:space="preserve">Amandes </t>
  </si>
  <si>
    <t xml:space="preserve">cheddar  </t>
  </si>
  <si>
    <t>hamissa</t>
  </si>
  <si>
    <t xml:space="preserve">colorant </t>
  </si>
  <si>
    <t>djeledjelan</t>
  </si>
  <si>
    <t>3assila</t>
  </si>
  <si>
    <t>bateur</t>
  </si>
  <si>
    <t>Boite 48/10</t>
  </si>
  <si>
    <t>Boite 48/07</t>
  </si>
  <si>
    <t>Boite 36</t>
  </si>
  <si>
    <t>Boite 24</t>
  </si>
  <si>
    <t>Boite 18</t>
  </si>
  <si>
    <t>Boite 12</t>
  </si>
  <si>
    <t>Boite 8</t>
  </si>
  <si>
    <t>cacao</t>
  </si>
  <si>
    <t>levure chimique</t>
  </si>
  <si>
    <t>Noix de cajou</t>
  </si>
  <si>
    <t>raisins secs</t>
  </si>
  <si>
    <t>khel</t>
  </si>
  <si>
    <t>Djouz</t>
  </si>
  <si>
    <t>amandes marron</t>
  </si>
  <si>
    <t>levure boulangère</t>
  </si>
  <si>
    <t>semoule Sim Moyenne 10kg</t>
  </si>
  <si>
    <t>Chocolat wedjedane noisette</t>
  </si>
  <si>
    <t xml:space="preserve">Chocolat wedjedane blanc </t>
  </si>
  <si>
    <t>Chocolat wedjedane noir</t>
  </si>
  <si>
    <t xml:space="preserve">chocolat wedjedane au lait </t>
  </si>
  <si>
    <t>sanoudj</t>
  </si>
  <si>
    <t>7abet halawa</t>
  </si>
  <si>
    <t xml:space="preserve">semoule Fine Agrodive 25kg </t>
  </si>
  <si>
    <t>tomate conserve</t>
  </si>
  <si>
    <t>sucre cristalisé 25kg</t>
  </si>
  <si>
    <t xml:space="preserve">Margarine fleurial 250g      </t>
  </si>
  <si>
    <t>Boite 500cc</t>
  </si>
  <si>
    <t>Fanta 25cl</t>
  </si>
  <si>
    <t>nttoyage vitres</t>
  </si>
  <si>
    <t>Papier Aluminium</t>
  </si>
  <si>
    <t>wered chouche</t>
  </si>
  <si>
    <t>Nakkache</t>
  </si>
  <si>
    <t xml:space="preserve">viande </t>
  </si>
  <si>
    <t>semoule moula moyenne 2kg</t>
  </si>
  <si>
    <t>légumes</t>
  </si>
  <si>
    <t>escalope de poulet</t>
  </si>
  <si>
    <t>bessel</t>
  </si>
  <si>
    <t>02et03 /12/2023</t>
  </si>
  <si>
    <t>chocolat à tartiner batouche 10kg</t>
  </si>
  <si>
    <t xml:space="preserve">chocolat optella </t>
  </si>
  <si>
    <t>dégraissant mokhito</t>
  </si>
  <si>
    <t>semoule fine sahel + bousmail10kg</t>
  </si>
  <si>
    <t>semoule fine Bousbai3</t>
  </si>
  <si>
    <t>fleur de décoration</t>
  </si>
  <si>
    <t>deyoul</t>
  </si>
  <si>
    <t>huile 5 litres</t>
  </si>
  <si>
    <t>Farine sousimie 5kg</t>
  </si>
  <si>
    <t>margarine fleurial 500g</t>
  </si>
  <si>
    <t xml:space="preserve">poulet haché  </t>
  </si>
  <si>
    <t xml:space="preserve">semoule Boussabi3 </t>
  </si>
  <si>
    <t xml:space="preserve">transport semoule </t>
  </si>
  <si>
    <t>sac croissant 23</t>
  </si>
  <si>
    <t>serviette en papier</t>
  </si>
  <si>
    <t>couscouss</t>
  </si>
  <si>
    <t>poulet</t>
  </si>
  <si>
    <t>amande blanc</t>
  </si>
  <si>
    <t xml:space="preserve">djeldjelane </t>
  </si>
  <si>
    <t xml:space="preserve">salade </t>
  </si>
  <si>
    <t>Boites 48/07</t>
  </si>
  <si>
    <t>boite 36</t>
  </si>
  <si>
    <t>Tofy</t>
  </si>
  <si>
    <t>sac croissant 18</t>
  </si>
  <si>
    <t xml:space="preserve">sucre glace </t>
  </si>
  <si>
    <t>cuillières+ fourchette</t>
  </si>
  <si>
    <t>les épices</t>
  </si>
  <si>
    <t>eau 5 litres</t>
  </si>
  <si>
    <t>transport salés</t>
  </si>
  <si>
    <t>nettoyage des vitres</t>
  </si>
  <si>
    <t>poulet entier</t>
  </si>
  <si>
    <t>semoule Sahel 10kg</t>
  </si>
  <si>
    <t xml:space="preserve">réparation vitres de la galerie </t>
  </si>
  <si>
    <t>14/12/2023</t>
  </si>
  <si>
    <t>javel 5 litres</t>
  </si>
  <si>
    <t>chocolat wedjedane noisette</t>
  </si>
  <si>
    <t>chocolat wedjedane noir</t>
  </si>
  <si>
    <t>Chocolat wedjedane au lait</t>
  </si>
  <si>
    <t>amandes blanc</t>
  </si>
  <si>
    <t>farine sim 1kg</t>
  </si>
  <si>
    <t>Maizina</t>
  </si>
  <si>
    <t>nouara</t>
  </si>
  <si>
    <t>pistache</t>
  </si>
  <si>
    <t>gouda</t>
  </si>
  <si>
    <t>fromage slices</t>
  </si>
  <si>
    <t>djouz</t>
  </si>
  <si>
    <t>sel</t>
  </si>
  <si>
    <t>viande hachéee</t>
  </si>
  <si>
    <t>poulet haché</t>
  </si>
  <si>
    <t>épices</t>
  </si>
  <si>
    <t>viande</t>
  </si>
  <si>
    <t>Facture éléctrité</t>
  </si>
  <si>
    <t xml:space="preserve">fromage bidon 3,8kg+ cheddar+ speciale pizza </t>
  </si>
  <si>
    <t>chezzy slices</t>
  </si>
  <si>
    <t>tomate fraihe</t>
  </si>
  <si>
    <t>poulet haché+ escalope</t>
  </si>
  <si>
    <t>crème fraiche+ nacré + boite de leben</t>
  </si>
  <si>
    <t>épinards + persil</t>
  </si>
  <si>
    <t>detergents + sac poubellle</t>
  </si>
  <si>
    <t xml:space="preserve">cuisses pilon </t>
  </si>
  <si>
    <t xml:space="preserve">fromage </t>
  </si>
  <si>
    <t>detergents locale+ magasin</t>
  </si>
  <si>
    <t>poulet pilon</t>
  </si>
  <si>
    <t>couscouss+ terida+ berkoukess</t>
  </si>
  <si>
    <t>harrissa</t>
  </si>
  <si>
    <t>ail</t>
  </si>
  <si>
    <t>viande morceaux</t>
  </si>
  <si>
    <t>dentelle miel</t>
  </si>
  <si>
    <t>cuisses entiers</t>
  </si>
  <si>
    <t>cousscouss</t>
  </si>
  <si>
    <t>sachets de congélation</t>
  </si>
  <si>
    <t>blanc de poulet</t>
  </si>
  <si>
    <t>pain de tacos</t>
  </si>
  <si>
    <t>fromage bidon 2 kg</t>
  </si>
  <si>
    <t xml:space="preserve">huile 5 litres </t>
  </si>
  <si>
    <t>semoule fine s 10kg</t>
  </si>
  <si>
    <t xml:space="preserve">FRomage bidon 3,8kg  </t>
  </si>
  <si>
    <t>sachets de pain transparent</t>
  </si>
  <si>
    <t>tofia caramel 2kg</t>
  </si>
  <si>
    <t>livraison ka3ek nakach</t>
  </si>
  <si>
    <t xml:space="preserve">livraison les salés </t>
  </si>
  <si>
    <t>torechi</t>
  </si>
  <si>
    <t>poivre</t>
  </si>
  <si>
    <t>foul</t>
  </si>
  <si>
    <t>navets</t>
  </si>
  <si>
    <t>courgette</t>
  </si>
  <si>
    <t>pomme de terre</t>
  </si>
  <si>
    <t>carrote</t>
  </si>
  <si>
    <t>concobre</t>
  </si>
  <si>
    <t>bessel wera9</t>
  </si>
  <si>
    <t>haricot vert</t>
  </si>
  <si>
    <t>viande hachéé</t>
  </si>
  <si>
    <t>vinigrette</t>
  </si>
  <si>
    <t>noisette</t>
  </si>
  <si>
    <t>chakhechoukhate defer</t>
  </si>
  <si>
    <t>épinards + salde + persil+ coriandre</t>
  </si>
  <si>
    <t>feuille d'or</t>
  </si>
  <si>
    <t>livraison nakkach</t>
  </si>
  <si>
    <t>olive violet et vert</t>
  </si>
  <si>
    <t>cuisses de poulet</t>
  </si>
  <si>
    <t xml:space="preserve">blanc de poulet </t>
  </si>
  <si>
    <t xml:space="preserve">boites demie plateaux </t>
  </si>
  <si>
    <t>nakache</t>
  </si>
  <si>
    <t xml:space="preserve">Fraise </t>
  </si>
  <si>
    <t>olive</t>
  </si>
  <si>
    <t>blanc de poulet et poulet haché</t>
  </si>
  <si>
    <t>livraison nakkach+ rechta</t>
  </si>
  <si>
    <t>detergents</t>
  </si>
  <si>
    <t>les boites</t>
  </si>
  <si>
    <t>couscous</t>
  </si>
  <si>
    <t>dettes slimane</t>
  </si>
  <si>
    <t>berkoukess</t>
  </si>
  <si>
    <t xml:space="preserve">olive </t>
  </si>
  <si>
    <t>Facture éléctrité locale</t>
  </si>
  <si>
    <t>27/2023</t>
  </si>
  <si>
    <t>semoule fine 10kh</t>
  </si>
  <si>
    <t>les attaches + celophane+ boite demie plateau</t>
  </si>
  <si>
    <t>cheddar  + gouda</t>
  </si>
  <si>
    <t>douz</t>
  </si>
  <si>
    <t xml:space="preserve">Amina Baghrir 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</si>
  <si>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</si>
  <si>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</si>
  <si>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</si>
  <si>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</si>
  <si>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</si>
  <si>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</si>
  <si>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Lynda</t>
  </si>
  <si>
    <t>5000+2000+</t>
  </si>
  <si>
    <t>Yasmine Vendeuse</t>
  </si>
  <si>
    <t>Yesmine</t>
  </si>
  <si>
    <t xml:space="preserve">Nadia Femme de ménage </t>
  </si>
  <si>
    <t xml:space="preserve">Nadia   </t>
  </si>
  <si>
    <t>TOTAL</t>
  </si>
  <si>
    <t xml:space="preserve">Mois de Janvier </t>
  </si>
  <si>
    <t xml:space="preserve">Mois de Février </t>
  </si>
  <si>
    <t xml:space="preserve">Mois de Mars </t>
  </si>
  <si>
    <t>Mois d'Avril</t>
  </si>
  <si>
    <t>Mois de Mai</t>
  </si>
  <si>
    <t xml:space="preserve">Mois de Jiun </t>
  </si>
  <si>
    <t xml:space="preserve">Mois de Juillet </t>
  </si>
  <si>
    <t xml:space="preserve">Mois d'Aout </t>
  </si>
  <si>
    <t xml:space="preserve">Mois de Septembre </t>
  </si>
  <si>
    <t>Mois d'Octobre</t>
  </si>
  <si>
    <t>Mois de Décembre</t>
  </si>
  <si>
    <t>Salaires</t>
  </si>
  <si>
    <t xml:space="preserve">Profit Net </t>
  </si>
  <si>
    <t>Mois de Decembre</t>
  </si>
  <si>
    <t>Totale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</si>
</sst>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yyyy"/>
    <numFmt numFmtId="165" formatCode="dd/mm/yyyy"/>
    <numFmt numFmtId="166" formatCode="#,##0.00\ [$€-1]"/>
    <numFmt numFmtId="167" formatCode="d/m/yyyy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7.0"/>
      <color theme="1"/>
      <name val="Arial"/>
    </font>
    <font>
      <sz val="19.0"/>
      <color theme="1"/>
      <name val="Arial"/>
    </font>
    <font>
      <sz val="18.0"/>
      <color rgb="FFFF0000"/>
      <name val="Arial"/>
    </font>
    <font>
      <color theme="1"/>
      <name val="Arial"/>
      <scheme val="minor"/>
    </font>
    <font>
      <b/>
      <sz val="20.0"/>
      <color theme="1"/>
      <name val="Arial"/>
    </font>
    <font>
      <sz val="14.0"/>
      <color theme="1"/>
      <name val="Arial"/>
    </font>
    <font>
      <sz val="18.0"/>
      <color rgb="FFFFFF00"/>
      <name val="Arial"/>
    </font>
    <font>
      <b/>
      <sz val="23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sz val="20.0"/>
      <color theme="1"/>
      <name val="Arial"/>
    </font>
    <font>
      <b/>
      <sz val="24.0"/>
      <color theme="1"/>
      <name val="Arial"/>
    </font>
    <font/>
    <font>
      <b/>
      <sz val="24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164" xfId="0" applyAlignment="1" applyBorder="1" applyFill="1" applyFont="1" applyNumberForma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0" fillId="6" fontId="1" numFmtId="0" xfId="0" applyAlignment="1" applyFill="1" applyFont="1">
      <alignment vertical="bottom"/>
    </xf>
    <xf borderId="1" fillId="6" fontId="1" numFmtId="166" xfId="0" applyAlignment="1" applyBorder="1" applyFont="1" applyNumberFormat="1">
      <alignment vertical="bottom"/>
    </xf>
    <xf borderId="1" fillId="6" fontId="3" numFmtId="166" xfId="0" applyAlignment="1" applyBorder="1" applyFont="1" applyNumberForma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3" numFmtId="0" xfId="0" applyAlignment="1" applyBorder="1" applyFont="1">
      <alignment horizontal="center" readingOrder="0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1" fillId="5" fontId="3" numFmtId="166" xfId="0" applyAlignment="1" applyBorder="1" applyFont="1" applyNumberFormat="1">
      <alignment horizontal="center"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readingOrder="0" vertical="bottom"/>
    </xf>
    <xf borderId="1" fillId="0" fontId="1" numFmtId="166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0" fontId="3" numFmtId="166" xfId="0" applyAlignment="1" applyFont="1" applyNumberFormat="1">
      <alignment horizontal="center" vertical="bottom"/>
    </xf>
    <xf borderId="0" fillId="9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3" numFmtId="166" xfId="0" applyAlignment="1" applyBorder="1" applyFont="1" applyNumberFormat="1">
      <alignment horizontal="right" readingOrder="0" vertical="bottom"/>
    </xf>
    <xf borderId="3" fillId="10" fontId="3" numFmtId="0" xfId="0" applyAlignment="1" applyBorder="1" applyFill="1" applyFont="1">
      <alignment horizontal="center" readingOrder="0" vertical="bottom"/>
    </xf>
    <xf borderId="1" fillId="10" fontId="3" numFmtId="165" xfId="0" applyAlignment="1" applyBorder="1" applyFont="1" applyNumberFormat="1">
      <alignment horizontal="center" readingOrder="0" vertical="bottom"/>
    </xf>
    <xf borderId="1" fillId="10" fontId="3" numFmtId="166" xfId="0" applyAlignment="1" applyBorder="1" applyFont="1" applyNumberFormat="1">
      <alignment horizontal="center" readingOrder="0" vertical="bottom"/>
    </xf>
    <xf borderId="1" fillId="1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horizontal="right" vertical="bottom"/>
    </xf>
    <xf borderId="0" fillId="6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1" fillId="0" fontId="3" numFmtId="166" xfId="0" applyAlignment="1" applyBorder="1" applyFont="1" applyNumberFormat="1">
      <alignment horizontal="right" readingOrder="0" vertical="bottom"/>
    </xf>
    <xf borderId="4" fillId="7" fontId="6" numFmtId="166" xfId="0" applyAlignment="1" applyBorder="1" applyFont="1" applyNumberFormat="1">
      <alignment horizontal="center" vertical="bottom"/>
    </xf>
    <xf borderId="4" fillId="0" fontId="3" numFmtId="166" xfId="0" applyAlignment="1" applyBorder="1" applyFont="1" applyNumberFormat="1">
      <alignment horizontal="center" readingOrder="0" vertical="bottom"/>
    </xf>
    <xf borderId="4" fillId="0" fontId="5" numFmtId="166" xfId="0" applyAlignment="1" applyBorder="1" applyFont="1" applyNumberFormat="1">
      <alignment readingOrder="0" vertical="bottom"/>
    </xf>
    <xf borderId="0" fillId="0" fontId="7" numFmtId="0" xfId="0" applyAlignment="1" applyFont="1">
      <alignment readingOrder="0"/>
    </xf>
    <xf borderId="6" fillId="0" fontId="3" numFmtId="166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vertical="bottom"/>
    </xf>
    <xf borderId="0" fillId="0" fontId="9" numFmtId="0" xfId="0" applyAlignment="1" applyFont="1">
      <alignment readingOrder="0" vertical="bottom"/>
    </xf>
    <xf borderId="1" fillId="11" fontId="10" numFmtId="0" xfId="0" applyAlignment="1" applyBorder="1" applyFill="1" applyFont="1">
      <alignment horizontal="center" vertical="bottom"/>
    </xf>
    <xf borderId="6" fillId="0" fontId="1" numFmtId="166" xfId="0" applyAlignment="1" applyBorder="1" applyFont="1" applyNumberFormat="1">
      <alignment vertical="bottom"/>
    </xf>
    <xf borderId="0" fillId="0" fontId="3" numFmtId="166" xfId="0" applyAlignment="1" applyFont="1" applyNumberFormat="1">
      <alignment readingOrder="0" vertical="bottom"/>
    </xf>
    <xf borderId="1" fillId="7" fontId="11" numFmtId="166" xfId="0" applyAlignment="1" applyBorder="1" applyFont="1" applyNumberFormat="1">
      <alignment vertical="bottom"/>
    </xf>
    <xf borderId="0" fillId="0" fontId="1" numFmtId="0" xfId="0" applyAlignment="1" applyFont="1">
      <alignment readingOrder="0" vertical="bottom"/>
    </xf>
    <xf borderId="1" fillId="4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right" vertical="bottom"/>
    </xf>
    <xf borderId="1" fillId="0" fontId="5" numFmtId="166" xfId="0" applyAlignment="1" applyBorder="1" applyFont="1" applyNumberFormat="1">
      <alignment horizontal="center" vertical="bottom"/>
    </xf>
    <xf borderId="1" fillId="11" fontId="3" numFmtId="0" xfId="0" applyAlignment="1" applyBorder="1" applyFont="1">
      <alignment horizontal="center" vertical="bottom"/>
    </xf>
    <xf borderId="1" fillId="6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vertical="bottom"/>
    </xf>
    <xf borderId="1" fillId="6" fontId="1" numFmtId="165" xfId="0" applyAlignment="1" applyBorder="1" applyFont="1" applyNumberFormat="1">
      <alignment vertical="bottom"/>
    </xf>
    <xf borderId="1" fillId="6" fontId="2" numFmtId="166" xfId="0" applyAlignment="1" applyBorder="1" applyFont="1" applyNumberFormat="1">
      <alignment horizontal="right" vertical="bottom"/>
    </xf>
    <xf borderId="1" fillId="6" fontId="2" numFmtId="166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4" fillId="6" fontId="3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vertical="bottom"/>
    </xf>
    <xf borderId="1" fillId="11" fontId="3" numFmtId="0" xfId="0" applyAlignment="1" applyBorder="1" applyFont="1">
      <alignment horizontal="center" readingOrder="0" vertical="bottom"/>
    </xf>
    <xf borderId="4" fillId="6" fontId="1" numFmtId="0" xfId="0" applyAlignment="1" applyBorder="1" applyFont="1">
      <alignment readingOrder="0" vertical="bottom"/>
    </xf>
    <xf borderId="3" fillId="5" fontId="12" numFmtId="0" xfId="0" applyAlignment="1" applyBorder="1" applyFont="1">
      <alignment horizontal="center" readingOrder="0" vertical="bottom"/>
    </xf>
    <xf borderId="1" fillId="5" fontId="12" numFmtId="0" xfId="0" applyAlignment="1" applyBorder="1" applyFont="1">
      <alignment horizontal="center" readingOrder="0" vertical="bottom"/>
    </xf>
    <xf borderId="1" fillId="11" fontId="12" numFmtId="0" xfId="0" applyAlignment="1" applyBorder="1" applyFont="1">
      <alignment horizontal="center" readingOrder="0" vertical="bottom"/>
    </xf>
    <xf borderId="1" fillId="6" fontId="12" numFmtId="0" xfId="0" applyAlignment="1" applyBorder="1" applyFont="1">
      <alignment horizontal="center" readingOrder="0" vertical="bottom"/>
    </xf>
    <xf borderId="1" fillId="6" fontId="5" numFmtId="0" xfId="0" applyAlignment="1" applyBorder="1" applyFont="1">
      <alignment readingOrder="0" vertical="bottom"/>
    </xf>
    <xf borderId="3" fillId="8" fontId="3" numFmtId="0" xfId="0" applyAlignment="1" applyBorder="1" applyFont="1">
      <alignment horizontal="center" readingOrder="0" vertical="bottom"/>
    </xf>
    <xf borderId="1" fillId="8" fontId="3" numFmtId="0" xfId="0" applyAlignment="1" applyBorder="1" applyFont="1">
      <alignment horizontal="center" readingOrder="0" vertical="bottom"/>
    </xf>
    <xf borderId="7" fillId="6" fontId="8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right" vertical="bottom"/>
    </xf>
    <xf borderId="6" fillId="6" fontId="13" numFmtId="166" xfId="0" applyAlignment="1" applyBorder="1" applyFont="1" applyNumberFormat="1">
      <alignment horizontal="center" vertical="bottom"/>
    </xf>
    <xf borderId="1" fillId="6" fontId="13" numFmtId="166" xfId="0" applyAlignment="1" applyBorder="1" applyFont="1" applyNumberFormat="1">
      <alignment horizontal="center" vertical="bottom"/>
    </xf>
    <xf borderId="1" fillId="6" fontId="8" numFmtId="166" xfId="0" applyAlignment="1" applyBorder="1" applyFont="1" applyNumberFormat="1">
      <alignment horizontal="center" readingOrder="0" vertical="bottom"/>
    </xf>
    <xf borderId="1" fillId="6" fontId="8" numFmtId="166" xfId="0" applyAlignment="1" applyBorder="1" applyFont="1" applyNumberFormat="1">
      <alignment horizontal="center" vertical="bottom"/>
    </xf>
    <xf borderId="1" fillId="11" fontId="8" numFmtId="166" xfId="0" applyAlignment="1" applyBorder="1" applyFont="1" applyNumberFormat="1">
      <alignment horizontal="right" vertical="bottom"/>
    </xf>
    <xf borderId="1" fillId="8" fontId="14" numFmtId="166" xfId="0" applyAlignment="1" applyBorder="1" applyFont="1" applyNumberFormat="1">
      <alignment horizontal="center" vertical="bottom"/>
    </xf>
    <xf borderId="1" fillId="8" fontId="8" numFmtId="166" xfId="0" applyAlignment="1" applyBorder="1" applyFont="1" applyNumberFormat="1">
      <alignment horizontal="right" vertical="bottom"/>
    </xf>
    <xf borderId="1" fillId="8" fontId="2" numFmtId="166" xfId="0" applyAlignment="1" applyBorder="1" applyFont="1" applyNumberFormat="1">
      <alignment horizontal="center" vertical="bottom"/>
    </xf>
    <xf borderId="4" fillId="0" fontId="15" numFmtId="166" xfId="0" applyAlignment="1" applyBorder="1" applyFont="1" applyNumberFormat="1">
      <alignment horizontal="right" vertical="bottom"/>
    </xf>
    <xf borderId="4" fillId="0" fontId="15" numFmtId="166" xfId="0" applyAlignment="1" applyBorder="1" applyFont="1" applyNumberFormat="1">
      <alignment horizontal="right" readingOrder="0" vertical="bottom"/>
    </xf>
    <xf borderId="1" fillId="0" fontId="15" numFmtId="166" xfId="0" applyAlignment="1" applyBorder="1" applyFont="1" applyNumberFormat="1">
      <alignment horizontal="right" vertical="bottom"/>
    </xf>
    <xf borderId="0" fillId="3" fontId="3" numFmtId="166" xfId="0" applyAlignment="1" applyFont="1" applyNumberFormat="1">
      <alignment horizontal="right" vertical="bottom"/>
    </xf>
    <xf borderId="1" fillId="5" fontId="16" numFmtId="0" xfId="0" applyAlignment="1" applyBorder="1" applyFont="1">
      <alignment horizontal="center" vertical="bottom"/>
    </xf>
    <xf borderId="2" fillId="5" fontId="16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3" numFmtId="166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horizontal="center" readingOrder="0" vertical="bottom"/>
    </xf>
    <xf borderId="6" fillId="0" fontId="17" numFmtId="0" xfId="0" applyBorder="1" applyFont="1"/>
    <xf borderId="5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166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6" fontId="3" numFmtId="166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2" fillId="4" fontId="1" numFmtId="0" xfId="0" applyAlignment="1" applyBorder="1" applyFont="1">
      <alignment readingOrder="0" vertical="bottom"/>
    </xf>
    <xf borderId="2" fillId="4" fontId="5" numFmtId="0" xfId="0" applyAlignment="1" applyBorder="1" applyFont="1">
      <alignment horizontal="center" vertical="bottom"/>
    </xf>
    <xf borderId="2" fillId="4" fontId="1" numFmtId="166" xfId="0" applyAlignment="1" applyBorder="1" applyFont="1" applyNumberFormat="1">
      <alignment vertical="bottom"/>
    </xf>
    <xf borderId="3" fillId="4" fontId="5" numFmtId="0" xfId="0" applyAlignment="1" applyBorder="1" applyFont="1">
      <alignment horizontal="center" vertical="bottom"/>
    </xf>
    <xf borderId="1" fillId="4" fontId="1" numFmtId="0" xfId="0" applyAlignment="1" applyBorder="1" applyFont="1">
      <alignment readingOrder="0" vertical="bottom"/>
    </xf>
    <xf borderId="1" fillId="4" fontId="5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vertical="bottom"/>
    </xf>
    <xf borderId="1" fillId="0" fontId="17" numFmtId="0" xfId="0" applyBorder="1" applyFont="1"/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7" xfId="0" applyAlignment="1" applyBorder="1" applyFont="1" applyNumberFormat="1">
      <alignment horizontal="center" readingOrder="0" vertical="bottom"/>
    </xf>
    <xf borderId="3" fillId="11" fontId="3" numFmtId="0" xfId="0" applyAlignment="1" applyBorder="1" applyFont="1">
      <alignment horizontal="center" readingOrder="0" vertical="bottom"/>
    </xf>
    <xf borderId="1" fillId="11" fontId="3" numFmtId="166" xfId="0" applyAlignment="1" applyBorder="1" applyFont="1" applyNumberFormat="1">
      <alignment horizontal="center" vertical="bottom"/>
    </xf>
    <xf borderId="1" fillId="11" fontId="3" numFmtId="167" xfId="0" applyAlignment="1" applyBorder="1" applyFont="1" applyNumberFormat="1">
      <alignment horizontal="center" readingOrder="0" vertical="bottom"/>
    </xf>
    <xf borderId="3" fillId="0" fontId="16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66" xfId="0" applyAlignment="1" applyBorder="1" applyFont="1" applyNumberFormat="1">
      <alignment horizontal="center" vertical="bottom"/>
    </xf>
    <xf borderId="1" fillId="0" fontId="16" numFmtId="166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7" fontId="2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bottom" wrapText="0"/>
    </xf>
    <xf borderId="1" fillId="3" fontId="3" numFmtId="166" xfId="0" applyAlignment="1" applyBorder="1" applyFont="1" applyNumberFormat="1">
      <alignment horizontal="center" vertical="bottom"/>
    </xf>
    <xf borderId="1" fillId="4" fontId="2" numFmtId="166" xfId="0" applyAlignment="1" applyBorder="1" applyFont="1" applyNumberFormat="1">
      <alignment horizontal="center" vertical="bottom"/>
    </xf>
    <xf borderId="5" fillId="0" fontId="18" numFmtId="0" xfId="0" applyAlignment="1" applyBorder="1" applyFont="1">
      <alignment horizontal="center" readingOrder="0"/>
    </xf>
    <xf borderId="8" fillId="0" fontId="1" numFmtId="0" xfId="0" applyAlignment="1" applyBorder="1" applyFont="1">
      <alignment vertical="bottom"/>
    </xf>
    <xf borderId="9" fillId="12" fontId="2" numFmtId="0" xfId="0" applyAlignment="1" applyBorder="1" applyFill="1" applyFont="1">
      <alignment horizontal="center" vertical="bottom"/>
    </xf>
    <xf borderId="2" fillId="12" fontId="2" numFmtId="0" xfId="0" applyAlignment="1" applyBorder="1" applyFont="1">
      <alignment horizontal="center" vertical="bottom"/>
    </xf>
    <xf borderId="1" fillId="12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3" fillId="13" fontId="2" numFmtId="0" xfId="0" applyAlignment="1" applyBorder="1" applyFill="1" applyFont="1">
      <alignment horizontal="center" vertical="bottom"/>
    </xf>
    <xf borderId="1" fillId="12" fontId="3" numFmtId="166" xfId="0" applyAlignment="1" applyBorder="1" applyFont="1" applyNumberFormat="1">
      <alignment horizontal="center" vertical="bottom"/>
    </xf>
    <xf borderId="4" fillId="12" fontId="2" numFmtId="0" xfId="0" applyAlignment="1" applyBorder="1" applyFont="1">
      <alignment horizontal="center" readingOrder="0" shrinkToFit="0" vertical="bottom" wrapText="0"/>
    </xf>
    <xf borderId="1" fillId="13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25.13"/>
    <col customWidth="1" min="3" max="3" width="25.38"/>
    <col customWidth="1" min="4" max="4" width="26.13"/>
    <col customWidth="1" min="5" max="5" width="25.63"/>
    <col customWidth="1" min="6" max="6" width="26.38"/>
    <col customWidth="1" min="7" max="7" width="25.63"/>
    <col customWidth="1" min="8" max="8" width="26.38"/>
    <col customWidth="1" min="9" max="9" width="25.38"/>
    <col customWidth="1" min="11" max="11" width="26.88"/>
    <col customWidth="1" min="12" max="12" width="28.38"/>
    <col customWidth="1" min="13" max="13" width="42.63"/>
    <col customWidth="1" min="14" max="14" width="33.88"/>
    <col customWidth="1" min="15" max="15" width="51.13"/>
    <col customWidth="1" min="16" max="16" width="51.38"/>
    <col customWidth="1" min="19" max="19" width="55.38"/>
    <col customWidth="1" min="20" max="20" width="38.38"/>
    <col customWidth="1" min="21" max="21" width="47.38"/>
    <col customWidth="1" min="23" max="23" width="42.38"/>
    <col customWidth="1" min="24" max="24" width="74.38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  <c r="L1" s="6">
        <v>45170.0</v>
      </c>
      <c r="M1" s="4"/>
      <c r="N1" s="4"/>
      <c r="O1" s="4"/>
      <c r="P1" s="4"/>
      <c r="Q1" s="4"/>
      <c r="R1" s="4"/>
      <c r="S1" s="4"/>
      <c r="T1" s="4"/>
      <c r="U1" s="4"/>
    </row>
    <row r="2">
      <c r="A2" s="7" t="s">
        <v>9</v>
      </c>
      <c r="B2" s="8">
        <v>45261.0</v>
      </c>
      <c r="C2" s="9">
        <v>48000.0</v>
      </c>
      <c r="D2" s="9">
        <v>40000.0</v>
      </c>
      <c r="E2" s="10"/>
      <c r="F2" s="10"/>
      <c r="G2" s="10"/>
      <c r="H2" s="10"/>
      <c r="I2" s="11">
        <v>1.0</v>
      </c>
      <c r="J2" s="12"/>
      <c r="K2" s="13"/>
      <c r="L2" s="14">
        <v>48000.0</v>
      </c>
      <c r="M2" s="4"/>
      <c r="N2" s="4"/>
      <c r="O2" s="4"/>
      <c r="P2" s="4"/>
      <c r="Q2" s="4"/>
      <c r="R2" s="4"/>
      <c r="S2" s="4"/>
      <c r="T2" s="4"/>
      <c r="U2" s="4"/>
    </row>
    <row r="3">
      <c r="A3" s="15" t="s">
        <v>10</v>
      </c>
      <c r="B3" s="16">
        <v>45262.0</v>
      </c>
      <c r="C3" s="17">
        <v>36000.0</v>
      </c>
      <c r="D3" s="17">
        <v>41000.0</v>
      </c>
      <c r="E3" s="18"/>
      <c r="F3" s="18"/>
      <c r="G3" s="18"/>
      <c r="H3" s="18"/>
      <c r="I3" s="19">
        <v>1.0</v>
      </c>
      <c r="J3" s="12"/>
      <c r="K3" s="13"/>
      <c r="L3" s="14">
        <v>36000.0</v>
      </c>
      <c r="M3" s="20" t="s">
        <v>11</v>
      </c>
      <c r="N3" s="20" t="s">
        <v>12</v>
      </c>
      <c r="O3" s="21" t="s">
        <v>13</v>
      </c>
      <c r="P3" s="22" t="s">
        <v>14</v>
      </c>
      <c r="Q3" s="4"/>
      <c r="R3" s="4"/>
      <c r="S3" s="4"/>
      <c r="T3" s="4"/>
      <c r="U3" s="4"/>
    </row>
    <row r="4">
      <c r="A4" s="15" t="s">
        <v>15</v>
      </c>
      <c r="B4" s="16">
        <v>45263.0</v>
      </c>
      <c r="C4" s="17">
        <v>48000.0</v>
      </c>
      <c r="D4" s="17">
        <v>40000.0</v>
      </c>
      <c r="E4" s="18"/>
      <c r="F4" s="18"/>
      <c r="G4" s="18"/>
      <c r="H4" s="18"/>
      <c r="I4" s="19">
        <v>1.0</v>
      </c>
      <c r="J4" s="12"/>
      <c r="K4" s="13"/>
      <c r="L4" s="23">
        <v>48000.0</v>
      </c>
      <c r="M4" s="24" t="str">
        <f>H35/I35</f>
        <v>#DIV/0!</v>
      </c>
      <c r="N4" s="24" t="str">
        <f>D35/I35</f>
        <v>#DIV/0!</v>
      </c>
      <c r="O4" s="25"/>
      <c r="P4" s="26" t="str">
        <f>O4/N4</f>
        <v>#DIV/0!</v>
      </c>
      <c r="Q4" s="4"/>
      <c r="R4" s="4"/>
      <c r="S4" s="4"/>
      <c r="T4" s="4"/>
      <c r="U4" s="4"/>
    </row>
    <row r="5">
      <c r="A5" s="15" t="s">
        <v>16</v>
      </c>
      <c r="B5" s="16">
        <v>45264.0</v>
      </c>
      <c r="C5" s="17">
        <v>25000.0</v>
      </c>
      <c r="D5" s="17">
        <v>33000.0</v>
      </c>
      <c r="E5" s="18"/>
      <c r="F5" s="18"/>
      <c r="G5" s="18"/>
      <c r="H5" s="18"/>
      <c r="I5" s="19">
        <v>1.0</v>
      </c>
      <c r="J5" s="12"/>
      <c r="K5" s="13"/>
      <c r="L5" s="14">
        <v>25000.0</v>
      </c>
      <c r="M5" s="1"/>
      <c r="N5" s="1"/>
      <c r="O5" s="4"/>
      <c r="P5" s="27"/>
      <c r="Q5" s="4"/>
      <c r="R5" s="4"/>
      <c r="S5" s="4"/>
      <c r="T5" s="4"/>
      <c r="U5" s="4"/>
    </row>
    <row r="6">
      <c r="A6" s="15" t="s">
        <v>17</v>
      </c>
      <c r="B6" s="16">
        <v>45265.0</v>
      </c>
      <c r="C6" s="17">
        <v>34000.0</v>
      </c>
      <c r="D6" s="17">
        <v>38000.0</v>
      </c>
      <c r="E6" s="18"/>
      <c r="F6" s="18"/>
      <c r="G6" s="18"/>
      <c r="H6" s="18"/>
      <c r="I6" s="19">
        <v>1.0</v>
      </c>
      <c r="J6" s="12"/>
      <c r="K6" s="13"/>
      <c r="L6" s="14">
        <v>34000.0</v>
      </c>
      <c r="M6" s="28" t="s">
        <v>18</v>
      </c>
      <c r="N6" s="29" t="s">
        <v>19</v>
      </c>
      <c r="O6" s="4"/>
      <c r="P6" s="1"/>
      <c r="Q6" s="4"/>
      <c r="R6" s="4"/>
      <c r="S6" s="4"/>
      <c r="T6" s="4"/>
      <c r="U6" s="4"/>
    </row>
    <row r="7">
      <c r="A7" s="15" t="s">
        <v>20</v>
      </c>
      <c r="B7" s="16">
        <v>45266.0</v>
      </c>
      <c r="C7" s="17">
        <v>25000.0</v>
      </c>
      <c r="D7" s="17">
        <v>40000.0</v>
      </c>
      <c r="E7" s="18"/>
      <c r="F7" s="18"/>
      <c r="G7" s="18"/>
      <c r="H7" s="18"/>
      <c r="I7" s="19">
        <v>1.0</v>
      </c>
      <c r="J7" s="12"/>
      <c r="K7" s="13"/>
      <c r="L7" s="14">
        <v>25000.0</v>
      </c>
      <c r="M7" s="30" t="str">
        <f>E35/I35</f>
        <v>#DIV/0!</v>
      </c>
      <c r="N7" s="30">
        <v>100000.0</v>
      </c>
      <c r="O7" s="1"/>
      <c r="P7" s="1"/>
      <c r="Q7" s="4"/>
      <c r="R7" s="4"/>
      <c r="S7" s="4"/>
      <c r="T7" s="4"/>
      <c r="U7" s="4"/>
    </row>
    <row r="8">
      <c r="A8" s="15" t="s">
        <v>21</v>
      </c>
      <c r="B8" s="16">
        <v>45267.0</v>
      </c>
      <c r="C8" s="17">
        <v>31000.0</v>
      </c>
      <c r="D8" s="17">
        <v>52000.0</v>
      </c>
      <c r="E8" s="18"/>
      <c r="F8" s="18"/>
      <c r="G8" s="18"/>
      <c r="H8" s="18"/>
      <c r="I8" s="19">
        <v>1.0</v>
      </c>
      <c r="J8" s="12"/>
      <c r="K8" s="13"/>
      <c r="L8" s="14">
        <v>31000.0</v>
      </c>
      <c r="M8" s="1" t="s">
        <v>22</v>
      </c>
      <c r="N8" s="1"/>
      <c r="O8" s="1"/>
      <c r="P8" s="1"/>
      <c r="Q8" s="4"/>
      <c r="R8" s="4"/>
      <c r="S8" s="4"/>
      <c r="T8" s="4"/>
      <c r="U8" s="4"/>
    </row>
    <row r="9">
      <c r="A9" s="7" t="s">
        <v>9</v>
      </c>
      <c r="B9" s="8">
        <v>45268.0</v>
      </c>
      <c r="C9" s="9">
        <v>37000.0</v>
      </c>
      <c r="D9" s="9">
        <v>37000.0</v>
      </c>
      <c r="E9" s="10"/>
      <c r="F9" s="10"/>
      <c r="G9" s="10"/>
      <c r="H9" s="10"/>
      <c r="I9" s="31">
        <v>1.0</v>
      </c>
      <c r="J9" s="12"/>
      <c r="K9" s="13"/>
      <c r="L9" s="14">
        <v>37000.0</v>
      </c>
      <c r="M9" s="1"/>
      <c r="N9" s="1"/>
      <c r="O9" s="1"/>
      <c r="P9" s="1"/>
      <c r="Q9" s="4"/>
      <c r="R9" s="4"/>
      <c r="S9" s="4"/>
      <c r="T9" s="4"/>
      <c r="U9" s="4"/>
    </row>
    <row r="10">
      <c r="A10" s="15" t="s">
        <v>10</v>
      </c>
      <c r="B10" s="16">
        <v>45269.0</v>
      </c>
      <c r="C10" s="17">
        <v>40000.0</v>
      </c>
      <c r="D10" s="17">
        <v>30000.0</v>
      </c>
      <c r="E10" s="18"/>
      <c r="F10" s="18"/>
      <c r="G10" s="18"/>
      <c r="H10" s="18"/>
      <c r="I10" s="19">
        <v>1.0</v>
      </c>
      <c r="J10" s="12"/>
      <c r="K10" s="13"/>
      <c r="L10" s="14">
        <v>40000.0</v>
      </c>
      <c r="M10" s="32" t="s">
        <v>23</v>
      </c>
      <c r="N10" s="32" t="s">
        <v>24</v>
      </c>
      <c r="O10" s="33" t="s">
        <v>25</v>
      </c>
      <c r="P10" s="34" t="s">
        <v>26</v>
      </c>
      <c r="Q10" s="4"/>
      <c r="R10" s="4"/>
      <c r="S10" s="4"/>
      <c r="T10" s="4"/>
      <c r="U10" s="4"/>
    </row>
    <row r="11">
      <c r="A11" s="15" t="s">
        <v>15</v>
      </c>
      <c r="B11" s="16">
        <v>45270.0</v>
      </c>
      <c r="C11" s="17">
        <v>44000.0</v>
      </c>
      <c r="D11" s="17">
        <v>44000.0</v>
      </c>
      <c r="E11" s="18"/>
      <c r="F11" s="18"/>
      <c r="G11" s="18"/>
      <c r="H11" s="18"/>
      <c r="I11" s="19">
        <v>1.0</v>
      </c>
      <c r="J11" s="12"/>
      <c r="K11" s="13"/>
      <c r="L11" s="23">
        <v>44000.0</v>
      </c>
      <c r="M11" s="29">
        <f>D33-E33-Salaires!L27-N11</f>
        <v>811485</v>
      </c>
      <c r="N11" s="35">
        <v>15000.0</v>
      </c>
      <c r="O11" s="36">
        <v>340000.0</v>
      </c>
      <c r="P11" s="30">
        <f>M11-O11</f>
        <v>471485</v>
      </c>
      <c r="Q11" s="4"/>
      <c r="R11" s="4"/>
      <c r="S11" s="4"/>
      <c r="T11" s="4"/>
      <c r="U11" s="4"/>
    </row>
    <row r="12">
      <c r="A12" s="15" t="s">
        <v>16</v>
      </c>
      <c r="B12" s="16">
        <v>45271.0</v>
      </c>
      <c r="C12" s="17">
        <v>37000.0</v>
      </c>
      <c r="D12" s="17">
        <v>50000.0</v>
      </c>
      <c r="E12" s="18"/>
      <c r="F12" s="18"/>
      <c r="G12" s="18"/>
      <c r="H12" s="18"/>
      <c r="I12" s="19">
        <v>1.0</v>
      </c>
      <c r="J12" s="12"/>
      <c r="K12" s="13"/>
      <c r="L12" s="14">
        <v>37000.0</v>
      </c>
      <c r="M12" s="1"/>
      <c r="N12" s="1"/>
      <c r="O12" s="37" t="s">
        <v>27</v>
      </c>
      <c r="P12" s="38"/>
      <c r="Q12" s="4"/>
      <c r="R12" s="4"/>
      <c r="S12" s="4"/>
      <c r="T12" s="4"/>
      <c r="U12" s="4"/>
    </row>
    <row r="13">
      <c r="A13" s="15" t="s">
        <v>17</v>
      </c>
      <c r="B13" s="16">
        <v>45272.0</v>
      </c>
      <c r="C13" s="17">
        <v>32000.0</v>
      </c>
      <c r="D13" s="17">
        <v>35000.0</v>
      </c>
      <c r="E13" s="18"/>
      <c r="F13" s="18"/>
      <c r="G13" s="18"/>
      <c r="H13" s="18"/>
      <c r="I13" s="19">
        <v>1.0</v>
      </c>
      <c r="J13" s="12"/>
      <c r="K13" s="13"/>
      <c r="L13" s="14">
        <v>32000.0</v>
      </c>
      <c r="M13" s="39" t="s">
        <v>28</v>
      </c>
      <c r="N13" s="38"/>
      <c r="O13" s="40" t="s">
        <v>29</v>
      </c>
      <c r="P13" s="37" t="s">
        <v>30</v>
      </c>
      <c r="Q13" s="4"/>
      <c r="R13" s="4"/>
      <c r="S13" s="4"/>
      <c r="T13" s="4"/>
      <c r="U13" s="4"/>
    </row>
    <row r="14">
      <c r="A14" s="15" t="s">
        <v>20</v>
      </c>
      <c r="B14" s="16">
        <v>45273.0</v>
      </c>
      <c r="C14" s="17">
        <v>37000.0</v>
      </c>
      <c r="D14" s="17">
        <v>48000.0</v>
      </c>
      <c r="E14" s="18"/>
      <c r="F14" s="18"/>
      <c r="G14" s="18"/>
      <c r="H14" s="18"/>
      <c r="I14" s="19">
        <v>1.0</v>
      </c>
      <c r="J14" s="12"/>
      <c r="K14" s="13"/>
      <c r="L14" s="14">
        <v>37000.0</v>
      </c>
      <c r="M14" s="38"/>
      <c r="N14" s="38"/>
      <c r="O14" s="41" t="s">
        <v>31</v>
      </c>
      <c r="P14" s="42" t="s">
        <v>32</v>
      </c>
      <c r="Q14" s="4"/>
      <c r="R14" s="4"/>
      <c r="S14" s="4"/>
      <c r="T14" s="4"/>
      <c r="U14" s="4"/>
    </row>
    <row r="15">
      <c r="A15" s="15" t="s">
        <v>21</v>
      </c>
      <c r="B15" s="16">
        <v>45274.0</v>
      </c>
      <c r="C15" s="17">
        <v>37000.0</v>
      </c>
      <c r="D15" s="17">
        <v>75000.0</v>
      </c>
      <c r="E15" s="18"/>
      <c r="F15" s="18"/>
      <c r="G15" s="18"/>
      <c r="H15" s="18"/>
      <c r="I15" s="19">
        <v>1.0</v>
      </c>
      <c r="J15" s="12"/>
      <c r="K15" s="13"/>
      <c r="L15" s="14">
        <v>37000.0</v>
      </c>
      <c r="M15" s="25"/>
      <c r="N15" s="43"/>
      <c r="O15" s="44"/>
      <c r="P15" s="45" t="s">
        <v>33</v>
      </c>
      <c r="Q15" s="4"/>
      <c r="R15" s="4"/>
      <c r="S15" s="46" t="s">
        <v>34</v>
      </c>
      <c r="T15" s="47">
        <v>440000.0</v>
      </c>
      <c r="U15" s="4"/>
    </row>
    <row r="16">
      <c r="A16" s="48" t="s">
        <v>9</v>
      </c>
      <c r="B16" s="49">
        <v>45275.0</v>
      </c>
      <c r="C16" s="50">
        <v>42000.0</v>
      </c>
      <c r="D16" s="50">
        <v>55000.0</v>
      </c>
      <c r="E16" s="51"/>
      <c r="F16" s="51"/>
      <c r="G16" s="51"/>
      <c r="H16" s="51"/>
      <c r="I16" s="52">
        <v>1.0</v>
      </c>
      <c r="J16" s="12"/>
      <c r="K16" s="13"/>
      <c r="L16" s="14">
        <v>42000.0</v>
      </c>
      <c r="M16" s="25"/>
      <c r="N16" s="43"/>
      <c r="O16" s="43"/>
      <c r="P16" s="4"/>
      <c r="Q16" s="4"/>
      <c r="R16" s="53"/>
      <c r="S16" s="54" t="s">
        <v>35</v>
      </c>
      <c r="T16" s="55">
        <f>D33</f>
        <v>1678000</v>
      </c>
      <c r="U16" s="4"/>
    </row>
    <row r="17">
      <c r="A17" s="15" t="s">
        <v>10</v>
      </c>
      <c r="B17" s="16">
        <v>45276.0</v>
      </c>
      <c r="C17" s="17">
        <v>59000.0</v>
      </c>
      <c r="D17" s="17">
        <v>35000.0</v>
      </c>
      <c r="E17" s="18"/>
      <c r="F17" s="18"/>
      <c r="G17" s="18"/>
      <c r="H17" s="18"/>
      <c r="I17" s="19">
        <v>1.0</v>
      </c>
      <c r="J17" s="12"/>
      <c r="K17" s="13"/>
      <c r="L17" s="14">
        <v>59000.0</v>
      </c>
      <c r="M17" s="56"/>
      <c r="N17" s="43"/>
      <c r="O17" s="36" t="s">
        <v>36</v>
      </c>
      <c r="P17" s="57">
        <v>330000.0</v>
      </c>
      <c r="Q17" s="4"/>
      <c r="R17" s="53"/>
      <c r="S17" s="54" t="s">
        <v>37</v>
      </c>
      <c r="T17" s="55">
        <f>E33</f>
        <v>727515</v>
      </c>
      <c r="U17" s="4"/>
    </row>
    <row r="18">
      <c r="A18" s="15" t="s">
        <v>15</v>
      </c>
      <c r="B18" s="16">
        <v>45277.0</v>
      </c>
      <c r="C18" s="17">
        <v>58000.0</v>
      </c>
      <c r="D18" s="17">
        <v>60000.0</v>
      </c>
      <c r="E18" s="18"/>
      <c r="F18" s="18"/>
      <c r="G18" s="18"/>
      <c r="H18" s="18"/>
      <c r="I18" s="19">
        <v>1.0</v>
      </c>
      <c r="J18" s="12"/>
      <c r="K18" s="13"/>
      <c r="L18" s="23">
        <v>58000.0</v>
      </c>
      <c r="M18" s="58"/>
      <c r="N18" s="43"/>
      <c r="O18" s="36" t="s">
        <v>38</v>
      </c>
      <c r="P18" s="57">
        <v>110000.0</v>
      </c>
      <c r="Q18" s="4"/>
      <c r="R18" s="53"/>
      <c r="S18" s="54" t="s">
        <v>39</v>
      </c>
      <c r="T18" s="59">
        <f>Salaires!L27*1</f>
        <v>124000</v>
      </c>
      <c r="U18" s="4"/>
    </row>
    <row r="19">
      <c r="A19" s="15" t="s">
        <v>16</v>
      </c>
      <c r="B19" s="16">
        <v>45278.0</v>
      </c>
      <c r="C19" s="17">
        <v>25000.0</v>
      </c>
      <c r="D19" s="17">
        <v>45000.0</v>
      </c>
      <c r="E19" s="18"/>
      <c r="F19" s="18"/>
      <c r="G19" s="18"/>
      <c r="H19" s="18"/>
      <c r="I19" s="19">
        <v>1.0</v>
      </c>
      <c r="J19" s="12"/>
      <c r="K19" s="13"/>
      <c r="L19" s="14">
        <v>25000.0</v>
      </c>
      <c r="M19" s="60" t="s">
        <v>40</v>
      </c>
      <c r="N19" s="43"/>
      <c r="O19" s="61" t="s">
        <v>41</v>
      </c>
      <c r="P19" s="62">
        <v>34000.0</v>
      </c>
      <c r="Q19" s="4"/>
      <c r="R19" s="53"/>
      <c r="S19" s="54" t="s">
        <v>42</v>
      </c>
      <c r="T19" s="59">
        <f>N11*1</f>
        <v>15000</v>
      </c>
      <c r="U19" s="4"/>
      <c r="Y19" s="63">
        <v>1.0</v>
      </c>
    </row>
    <row r="20">
      <c r="A20" s="15" t="s">
        <v>17</v>
      </c>
      <c r="B20" s="16">
        <v>45279.0</v>
      </c>
      <c r="C20" s="17">
        <v>38000.0</v>
      </c>
      <c r="D20" s="17">
        <v>52000.0</v>
      </c>
      <c r="E20" s="18"/>
      <c r="F20" s="18"/>
      <c r="G20" s="18"/>
      <c r="H20" s="18"/>
      <c r="I20" s="19">
        <v>1.0</v>
      </c>
      <c r="J20" s="12"/>
      <c r="K20" s="13"/>
      <c r="L20" s="14">
        <v>38000.0</v>
      </c>
      <c r="M20" s="14">
        <f>D35-C35</f>
        <v>0</v>
      </c>
      <c r="N20" s="64"/>
      <c r="O20" s="33" t="s">
        <v>43</v>
      </c>
      <c r="P20" s="65">
        <f>P17+P18-P19</f>
        <v>406000</v>
      </c>
      <c r="Q20" s="4"/>
      <c r="R20" s="53"/>
      <c r="S20" s="54" t="s">
        <v>44</v>
      </c>
      <c r="T20" s="59">
        <v>34000.0</v>
      </c>
      <c r="U20" s="66"/>
    </row>
    <row r="21">
      <c r="A21" s="15" t="s">
        <v>20</v>
      </c>
      <c r="B21" s="16">
        <v>45280.0</v>
      </c>
      <c r="C21" s="17">
        <v>16000.0</v>
      </c>
      <c r="D21" s="17">
        <v>84000.0</v>
      </c>
      <c r="E21" s="18"/>
      <c r="F21" s="18"/>
      <c r="G21" s="18"/>
      <c r="H21" s="18"/>
      <c r="I21" s="19">
        <v>1.0</v>
      </c>
      <c r="J21" s="12"/>
      <c r="K21" s="13"/>
      <c r="L21" s="14">
        <v>16000.0</v>
      </c>
      <c r="M21" s="67" t="s">
        <v>45</v>
      </c>
      <c r="N21" s="68"/>
      <c r="O21" s="33" t="s">
        <v>46</v>
      </c>
      <c r="P21" s="59">
        <v>16000.0</v>
      </c>
      <c r="Q21" s="4"/>
      <c r="R21" s="53"/>
      <c r="S21" s="54" t="s">
        <v>47</v>
      </c>
      <c r="T21" s="59">
        <f>T15+T16-T17-T18-T19-T20</f>
        <v>1217485</v>
      </c>
      <c r="U21" s="69"/>
    </row>
    <row r="22">
      <c r="A22" s="15" t="s">
        <v>21</v>
      </c>
      <c r="B22" s="16">
        <v>45281.0</v>
      </c>
      <c r="C22" s="17">
        <v>50000.0</v>
      </c>
      <c r="D22" s="17">
        <v>60000.0</v>
      </c>
      <c r="E22" s="18"/>
      <c r="F22" s="18"/>
      <c r="G22" s="18"/>
      <c r="H22" s="18"/>
      <c r="I22" s="19">
        <v>1.0</v>
      </c>
      <c r="J22" s="12"/>
      <c r="K22" s="13"/>
      <c r="L22" s="14">
        <v>50000.0</v>
      </c>
      <c r="M22" s="30">
        <f>K36-E36</f>
        <v>0</v>
      </c>
      <c r="N22" s="68"/>
      <c r="O22" s="1"/>
      <c r="P22" s="70">
        <f>P20-P21</f>
        <v>390000</v>
      </c>
      <c r="Q22" s="4"/>
      <c r="R22" s="53"/>
      <c r="S22" s="54" t="s">
        <v>48</v>
      </c>
      <c r="T22" s="59">
        <v>370000.0</v>
      </c>
      <c r="U22" s="71" t="s">
        <v>49</v>
      </c>
    </row>
    <row r="23">
      <c r="A23" s="48" t="s">
        <v>9</v>
      </c>
      <c r="B23" s="49">
        <v>45282.0</v>
      </c>
      <c r="C23" s="50">
        <v>90000.0</v>
      </c>
      <c r="D23" s="50">
        <v>190000.0</v>
      </c>
      <c r="E23" s="51"/>
      <c r="F23" s="51"/>
      <c r="G23" s="51"/>
      <c r="H23" s="51"/>
      <c r="I23" s="52">
        <v>1.0</v>
      </c>
      <c r="J23" s="12"/>
      <c r="K23" s="13"/>
      <c r="L23" s="14">
        <v>90000.0</v>
      </c>
      <c r="M23" s="72" t="s">
        <v>50</v>
      </c>
      <c r="N23" s="68"/>
      <c r="O23" s="1"/>
      <c r="P23" s="38"/>
      <c r="Q23" s="4"/>
      <c r="R23" s="53"/>
      <c r="S23" s="54" t="s">
        <v>51</v>
      </c>
      <c r="T23" s="73">
        <f>T21-T22</f>
        <v>847485</v>
      </c>
      <c r="U23" s="4"/>
    </row>
    <row r="24">
      <c r="A24" s="15" t="s">
        <v>10</v>
      </c>
      <c r="B24" s="16">
        <v>45283.0</v>
      </c>
      <c r="C24" s="17">
        <v>79000.0</v>
      </c>
      <c r="D24" s="17">
        <v>50000.0</v>
      </c>
      <c r="E24" s="18"/>
      <c r="F24" s="18"/>
      <c r="G24" s="18"/>
      <c r="H24" s="18"/>
      <c r="I24" s="19">
        <v>1.0</v>
      </c>
      <c r="J24" s="12"/>
      <c r="K24" s="13"/>
      <c r="L24" s="14">
        <v>79000.0</v>
      </c>
      <c r="M24" s="74">
        <f>D33-C33</f>
        <v>424000</v>
      </c>
      <c r="N24" s="68"/>
      <c r="O24" s="1"/>
      <c r="P24" s="38"/>
      <c r="Q24" s="4"/>
      <c r="R24" s="4"/>
      <c r="S24" s="4"/>
      <c r="T24" s="4"/>
      <c r="U24" s="4"/>
    </row>
    <row r="25">
      <c r="A25" s="15" t="s">
        <v>15</v>
      </c>
      <c r="B25" s="16">
        <v>45284.0</v>
      </c>
      <c r="C25" s="17">
        <v>33000.0</v>
      </c>
      <c r="D25" s="17">
        <v>40000.0</v>
      </c>
      <c r="E25" s="18"/>
      <c r="F25" s="18"/>
      <c r="G25" s="18"/>
      <c r="H25" s="18"/>
      <c r="I25" s="19">
        <v>1.0</v>
      </c>
      <c r="J25" s="12"/>
      <c r="K25" s="13"/>
      <c r="L25" s="23">
        <v>33000.0</v>
      </c>
      <c r="M25" s="39" t="s">
        <v>52</v>
      </c>
      <c r="N25" s="68"/>
      <c r="O25" s="1"/>
      <c r="P25" s="38"/>
      <c r="Q25" s="4"/>
      <c r="R25" s="4"/>
      <c r="S25" s="4"/>
      <c r="T25" s="4"/>
      <c r="U25" s="4"/>
    </row>
    <row r="26">
      <c r="A26" s="15" t="s">
        <v>16</v>
      </c>
      <c r="B26" s="16">
        <v>45285.0</v>
      </c>
      <c r="C26" s="17">
        <v>47000.0</v>
      </c>
      <c r="D26" s="17">
        <v>31000.0</v>
      </c>
      <c r="E26" s="18"/>
      <c r="F26" s="18"/>
      <c r="G26" s="18"/>
      <c r="H26" s="18"/>
      <c r="I26" s="19">
        <v>1.0</v>
      </c>
      <c r="J26" s="12"/>
      <c r="K26" s="13"/>
      <c r="L26" s="14">
        <v>47000.0</v>
      </c>
      <c r="M26" s="30">
        <f>D9+D16+D23+D30</f>
        <v>316000</v>
      </c>
      <c r="N26" s="53"/>
      <c r="O26" s="1"/>
      <c r="P26" s="38"/>
      <c r="Q26" s="4"/>
      <c r="R26" s="4"/>
      <c r="S26" s="4"/>
      <c r="T26" s="4"/>
      <c r="U26" s="4"/>
    </row>
    <row r="27">
      <c r="A27" s="15" t="s">
        <v>17</v>
      </c>
      <c r="B27" s="16">
        <v>45286.0</v>
      </c>
      <c r="C27" s="17">
        <v>35000.0</v>
      </c>
      <c r="D27" s="17">
        <v>36000.0</v>
      </c>
      <c r="E27" s="18"/>
      <c r="F27" s="18"/>
      <c r="G27" s="18"/>
      <c r="H27" s="18"/>
      <c r="I27" s="19">
        <v>1.0</v>
      </c>
      <c r="J27" s="12"/>
      <c r="K27" s="13"/>
      <c r="L27" s="14">
        <v>35000.0</v>
      </c>
      <c r="M27" s="38"/>
      <c r="N27" s="53"/>
      <c r="O27" s="1"/>
      <c r="P27" s="38"/>
      <c r="Q27" s="4"/>
      <c r="R27" s="4"/>
      <c r="S27" s="4"/>
      <c r="T27" s="4"/>
      <c r="U27" s="4"/>
    </row>
    <row r="28">
      <c r="A28" s="15" t="s">
        <v>20</v>
      </c>
      <c r="B28" s="16">
        <v>45287.0</v>
      </c>
      <c r="C28" s="17">
        <v>36000.0</v>
      </c>
      <c r="D28" s="17">
        <v>43000.0</v>
      </c>
      <c r="E28" s="18"/>
      <c r="F28" s="18"/>
      <c r="G28" s="18"/>
      <c r="H28" s="18"/>
      <c r="I28" s="19">
        <v>1.0</v>
      </c>
      <c r="J28" s="12"/>
      <c r="K28" s="13"/>
      <c r="L28" s="14">
        <v>36000.0</v>
      </c>
      <c r="M28" s="28" t="s">
        <v>25</v>
      </c>
      <c r="N28" s="53"/>
      <c r="O28" s="38"/>
      <c r="P28" s="38"/>
      <c r="Q28" s="4"/>
      <c r="R28" s="4"/>
      <c r="S28" s="4"/>
      <c r="T28" s="4"/>
      <c r="U28" s="4"/>
    </row>
    <row r="29">
      <c r="A29" s="15" t="s">
        <v>21</v>
      </c>
      <c r="B29" s="16">
        <v>45288.0</v>
      </c>
      <c r="C29" s="17">
        <v>35000.0</v>
      </c>
      <c r="D29" s="17">
        <v>60000.0</v>
      </c>
      <c r="E29" s="18"/>
      <c r="F29" s="18"/>
      <c r="G29" s="18"/>
      <c r="H29" s="18"/>
      <c r="I29" s="19">
        <v>1.0</v>
      </c>
      <c r="J29" s="12"/>
      <c r="K29" s="13"/>
      <c r="L29" s="14">
        <v>35000.0</v>
      </c>
      <c r="M29" s="30">
        <v>51000.0</v>
      </c>
      <c r="N29" s="25"/>
      <c r="O29" s="25"/>
      <c r="P29" s="4"/>
      <c r="Q29" s="4"/>
      <c r="R29" s="4"/>
      <c r="S29" s="4"/>
      <c r="T29" s="4"/>
      <c r="U29" s="4"/>
    </row>
    <row r="30">
      <c r="A30" s="48" t="s">
        <v>9</v>
      </c>
      <c r="B30" s="49">
        <v>45289.0</v>
      </c>
      <c r="C30" s="50">
        <v>43000.0</v>
      </c>
      <c r="D30" s="50">
        <v>34000.0</v>
      </c>
      <c r="E30" s="51"/>
      <c r="F30" s="51"/>
      <c r="G30" s="51"/>
      <c r="H30" s="51"/>
      <c r="I30" s="52">
        <v>1.0</v>
      </c>
      <c r="J30" s="12"/>
      <c r="K30" s="13"/>
      <c r="L30" s="14">
        <v>43000.0</v>
      </c>
      <c r="M30" s="75" t="s">
        <v>53</v>
      </c>
      <c r="N30" s="4"/>
      <c r="O30" s="25"/>
      <c r="P30" s="4"/>
      <c r="Q30" s="4"/>
      <c r="R30" s="4"/>
      <c r="S30" s="4"/>
      <c r="T30" s="4"/>
      <c r="U30" s="4"/>
    </row>
    <row r="31">
      <c r="A31" s="15" t="s">
        <v>10</v>
      </c>
      <c r="B31" s="16">
        <v>45290.0</v>
      </c>
      <c r="C31" s="17">
        <v>57000.0</v>
      </c>
      <c r="D31" s="17">
        <v>50000.0</v>
      </c>
      <c r="E31" s="18"/>
      <c r="F31" s="18"/>
      <c r="G31" s="18"/>
      <c r="H31" s="18"/>
      <c r="I31" s="19">
        <v>1.0</v>
      </c>
      <c r="J31" s="12"/>
      <c r="K31" s="13"/>
      <c r="L31" s="14">
        <v>57000.0</v>
      </c>
      <c r="M31" s="38"/>
      <c r="N31" s="4"/>
      <c r="O31" s="25"/>
      <c r="P31" s="4"/>
      <c r="Q31" s="4"/>
      <c r="R31" s="4"/>
      <c r="S31" s="4"/>
      <c r="T31" s="4"/>
      <c r="U31" s="4"/>
    </row>
    <row r="32">
      <c r="A32" s="15" t="s">
        <v>15</v>
      </c>
      <c r="B32" s="16">
        <v>45291.0</v>
      </c>
      <c r="C32" s="17">
        <v>0.0</v>
      </c>
      <c r="D32" s="17">
        <v>150000.0</v>
      </c>
      <c r="E32" s="18"/>
      <c r="F32" s="18"/>
      <c r="G32" s="18"/>
      <c r="H32" s="18"/>
      <c r="I32" s="76">
        <v>1.0</v>
      </c>
      <c r="J32" s="12"/>
      <c r="K32" s="13"/>
      <c r="L32" s="14">
        <v>0.0</v>
      </c>
      <c r="M32" s="38"/>
      <c r="N32" s="4"/>
      <c r="O32" s="25"/>
      <c r="P32" s="4"/>
      <c r="Q32" s="4"/>
      <c r="R32" s="4"/>
      <c r="S32" s="4"/>
      <c r="T32" s="4"/>
      <c r="U32" s="4"/>
    </row>
    <row r="33">
      <c r="A33" s="77"/>
      <c r="B33" s="78"/>
      <c r="C33" s="79">
        <f t="shared" ref="C33:D33" si="1">SUM(C2:C32)</f>
        <v>1254000</v>
      </c>
      <c r="D33" s="80">
        <f t="shared" si="1"/>
        <v>1678000</v>
      </c>
      <c r="E33" s="79">
        <f>'Les charges'!H331*1</f>
        <v>727515</v>
      </c>
      <c r="F33" s="79">
        <f>Salaires!K27*1</f>
        <v>386509.5</v>
      </c>
      <c r="G33" s="79">
        <v>110000.0</v>
      </c>
      <c r="H33" s="79">
        <f>D33-E33-F33-G33</f>
        <v>453975.5</v>
      </c>
      <c r="I33" s="81">
        <f>SUM(I2:I32)</f>
        <v>31</v>
      </c>
      <c r="J33" s="4"/>
      <c r="K33" s="13"/>
      <c r="L33" s="23">
        <f>SUM(L2:L32)</f>
        <v>1254000</v>
      </c>
      <c r="M33" s="38"/>
      <c r="N33" s="25"/>
      <c r="O33" s="25"/>
      <c r="P33" s="4"/>
      <c r="Q33" s="4"/>
      <c r="R33" s="4"/>
      <c r="S33" s="4"/>
      <c r="T33" s="4"/>
      <c r="U33" s="4"/>
    </row>
    <row r="34">
      <c r="A34" s="4"/>
      <c r="B34" s="82"/>
      <c r="C34" s="25"/>
      <c r="D34" s="25"/>
      <c r="E34" s="4"/>
      <c r="F34" s="4"/>
      <c r="G34" s="4"/>
      <c r="H34" s="4"/>
      <c r="I34" s="4"/>
      <c r="J34" s="4"/>
      <c r="K34" s="25"/>
      <c r="L34" s="25"/>
      <c r="M34" s="38"/>
      <c r="N34" s="25"/>
      <c r="O34" s="25"/>
      <c r="P34" s="4"/>
      <c r="Q34" s="4"/>
      <c r="R34" s="4"/>
      <c r="S34" s="4"/>
      <c r="T34" s="4"/>
      <c r="U34" s="4"/>
    </row>
    <row r="35">
      <c r="A35" s="4"/>
      <c r="B35" s="82"/>
      <c r="C35" s="25"/>
      <c r="D35" s="25"/>
      <c r="E35" s="25"/>
      <c r="F35" s="25"/>
      <c r="G35" s="25"/>
      <c r="H35" s="25"/>
      <c r="I35" s="4"/>
      <c r="J35" s="4"/>
      <c r="K35" s="25"/>
      <c r="L35" s="25"/>
      <c r="M35" s="30">
        <f>M11-M29-M34</f>
        <v>760485</v>
      </c>
      <c r="N35" s="4"/>
      <c r="O35" s="25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 t="s">
        <v>54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  <col customWidth="1" min="3" max="3" width="24.88"/>
    <col customWidth="1" min="4" max="4" width="25.13"/>
    <col customWidth="1" min="5" max="5" width="25.63"/>
    <col customWidth="1" min="6" max="7" width="25.88"/>
    <col customWidth="1" min="8" max="8" width="24.88"/>
    <col customWidth="1" min="9" max="9" width="25.88"/>
    <col customWidth="1" min="10" max="10" width="25.13"/>
    <col customWidth="1" min="11" max="11" width="24.88"/>
    <col customWidth="1" min="12" max="12" width="25.63"/>
    <col customWidth="1" min="13" max="13" width="26.88"/>
    <col customWidth="1" min="14" max="14" width="26.63"/>
    <col customWidth="1" min="15" max="16" width="27.38"/>
    <col customWidth="1" min="17" max="18" width="24.63"/>
    <col customWidth="1" min="19" max="19" width="102.88"/>
  </cols>
  <sheetData>
    <row r="1">
      <c r="A1" s="1"/>
      <c r="B1" s="2" t="s">
        <v>0</v>
      </c>
      <c r="C1" s="83" t="s">
        <v>55</v>
      </c>
      <c r="D1" s="84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s="85" t="s">
        <v>63</v>
      </c>
      <c r="L1" s="3" t="s">
        <v>64</v>
      </c>
      <c r="M1" s="3" t="s">
        <v>65</v>
      </c>
      <c r="N1" s="3" t="s">
        <v>66</v>
      </c>
      <c r="O1" s="85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4"/>
    </row>
    <row r="2">
      <c r="A2" s="7" t="s">
        <v>9</v>
      </c>
      <c r="B2" s="8">
        <v>45261.0</v>
      </c>
      <c r="C2" s="15">
        <v>1.0</v>
      </c>
      <c r="D2" s="19">
        <v>0.0</v>
      </c>
      <c r="E2" s="19">
        <v>0.0</v>
      </c>
      <c r="F2" s="19">
        <v>0.0</v>
      </c>
      <c r="G2" s="19">
        <v>1.0</v>
      </c>
      <c r="H2" s="19">
        <v>1.0</v>
      </c>
      <c r="I2" s="19">
        <v>1.0</v>
      </c>
      <c r="J2" s="19">
        <v>2.0</v>
      </c>
      <c r="K2" s="86"/>
      <c r="L2" s="19">
        <v>0.0</v>
      </c>
      <c r="M2" s="19">
        <v>0.0</v>
      </c>
      <c r="N2" s="19">
        <v>1.0</v>
      </c>
      <c r="O2" s="19"/>
      <c r="P2" s="19">
        <v>0.0</v>
      </c>
      <c r="Q2" s="19">
        <v>0.0</v>
      </c>
      <c r="R2" s="19">
        <v>0.0</v>
      </c>
      <c r="S2" s="18"/>
      <c r="T2" s="12"/>
    </row>
    <row r="3">
      <c r="A3" s="15" t="s">
        <v>10</v>
      </c>
      <c r="B3" s="16">
        <v>45262.0</v>
      </c>
      <c r="C3" s="15">
        <v>0.5</v>
      </c>
      <c r="D3" s="19">
        <v>0.0</v>
      </c>
      <c r="E3" s="19">
        <v>1.0</v>
      </c>
      <c r="F3" s="19">
        <v>1.0</v>
      </c>
      <c r="G3" s="19">
        <v>1.0</v>
      </c>
      <c r="H3" s="19">
        <v>0.0</v>
      </c>
      <c r="I3" s="19">
        <v>0.0</v>
      </c>
      <c r="J3" s="19">
        <v>1.0</v>
      </c>
      <c r="K3" s="19">
        <v>0.0</v>
      </c>
      <c r="L3" s="19">
        <v>0.0</v>
      </c>
      <c r="M3" s="19">
        <v>1.0</v>
      </c>
      <c r="N3" s="19">
        <v>0.0</v>
      </c>
      <c r="O3" s="19"/>
      <c r="P3" s="19">
        <v>1.0</v>
      </c>
      <c r="Q3" s="19">
        <v>1.0</v>
      </c>
      <c r="R3" s="19">
        <v>1.0</v>
      </c>
      <c r="S3" s="18"/>
      <c r="T3" s="12"/>
    </row>
    <row r="4">
      <c r="A4" s="15" t="s">
        <v>15</v>
      </c>
      <c r="B4" s="16">
        <v>45263.0</v>
      </c>
      <c r="C4" s="15">
        <v>0.0</v>
      </c>
      <c r="D4" s="19">
        <v>1.0</v>
      </c>
      <c r="E4" s="19">
        <v>1.0</v>
      </c>
      <c r="F4" s="19">
        <v>1.0</v>
      </c>
      <c r="G4" s="19">
        <v>1.0</v>
      </c>
      <c r="H4" s="19">
        <v>0.0</v>
      </c>
      <c r="I4" s="19">
        <v>0.0</v>
      </c>
      <c r="J4" s="19">
        <v>1.0</v>
      </c>
      <c r="K4" s="19">
        <v>0.0</v>
      </c>
      <c r="L4" s="19">
        <v>0.0</v>
      </c>
      <c r="M4" s="19">
        <v>1.0</v>
      </c>
      <c r="N4" s="19">
        <v>0.0</v>
      </c>
      <c r="O4" s="19"/>
      <c r="P4" s="19">
        <v>1.0</v>
      </c>
      <c r="Q4" s="19">
        <v>1.0</v>
      </c>
      <c r="R4" s="19">
        <v>1.0</v>
      </c>
      <c r="S4" s="18"/>
      <c r="T4" s="12"/>
    </row>
    <row r="5">
      <c r="A5" s="15" t="s">
        <v>16</v>
      </c>
      <c r="B5" s="16">
        <v>45264.0</v>
      </c>
      <c r="C5" s="15">
        <v>0.0</v>
      </c>
      <c r="D5" s="19">
        <v>1.0</v>
      </c>
      <c r="E5" s="19">
        <v>1.0</v>
      </c>
      <c r="F5" s="19">
        <v>1.0</v>
      </c>
      <c r="G5" s="19">
        <v>0.0</v>
      </c>
      <c r="H5" s="19">
        <v>0.0</v>
      </c>
      <c r="I5" s="19">
        <v>1.0</v>
      </c>
      <c r="J5" s="19">
        <v>1.0</v>
      </c>
      <c r="K5" s="19">
        <v>0.0</v>
      </c>
      <c r="L5" s="19">
        <v>0.0</v>
      </c>
      <c r="M5" s="19">
        <v>0.25</v>
      </c>
      <c r="N5" s="19">
        <v>0.5</v>
      </c>
      <c r="O5" s="19"/>
      <c r="P5" s="19">
        <v>1.0</v>
      </c>
      <c r="Q5" s="19">
        <v>1.0</v>
      </c>
      <c r="R5" s="19">
        <v>1.0</v>
      </c>
      <c r="S5" s="18"/>
      <c r="T5" s="12"/>
    </row>
    <row r="6">
      <c r="A6" s="15" t="s">
        <v>17</v>
      </c>
      <c r="B6" s="16">
        <v>45265.0</v>
      </c>
      <c r="C6" s="15">
        <v>0.0</v>
      </c>
      <c r="D6" s="19">
        <v>1.0</v>
      </c>
      <c r="E6" s="19">
        <v>1.0</v>
      </c>
      <c r="F6" s="19">
        <v>1.0</v>
      </c>
      <c r="G6" s="19">
        <v>1.0</v>
      </c>
      <c r="H6" s="19">
        <v>0.0</v>
      </c>
      <c r="I6" s="19">
        <v>0.0</v>
      </c>
      <c r="J6" s="19">
        <v>1.0</v>
      </c>
      <c r="K6" s="19">
        <v>0.0</v>
      </c>
      <c r="L6" s="19">
        <v>0.0</v>
      </c>
      <c r="M6" s="19">
        <v>1.0</v>
      </c>
      <c r="N6" s="19">
        <v>0.5</v>
      </c>
      <c r="O6" s="19"/>
      <c r="P6" s="19">
        <v>0.0</v>
      </c>
      <c r="Q6" s="87">
        <v>1.0</v>
      </c>
      <c r="R6" s="87">
        <v>1.0</v>
      </c>
      <c r="S6" s="88"/>
      <c r="T6" s="12"/>
    </row>
    <row r="7">
      <c r="A7" s="15" t="s">
        <v>20</v>
      </c>
      <c r="B7" s="16">
        <v>45266.0</v>
      </c>
      <c r="C7" s="15">
        <v>0.5</v>
      </c>
      <c r="D7" s="19">
        <v>1.0</v>
      </c>
      <c r="E7" s="19">
        <v>1.0</v>
      </c>
      <c r="F7" s="19">
        <v>1.0</v>
      </c>
      <c r="G7" s="19">
        <v>1.0</v>
      </c>
      <c r="H7" s="19">
        <v>0.0</v>
      </c>
      <c r="I7" s="19">
        <v>0.0</v>
      </c>
      <c r="J7" s="19">
        <v>1.0</v>
      </c>
      <c r="K7" s="19">
        <v>0.0</v>
      </c>
      <c r="L7" s="19">
        <v>0.0</v>
      </c>
      <c r="M7" s="19">
        <v>-3.0</v>
      </c>
      <c r="N7" s="19">
        <v>0.5</v>
      </c>
      <c r="O7" s="19"/>
      <c r="P7" s="19">
        <v>1.0</v>
      </c>
      <c r="Q7" s="19">
        <v>1.0</v>
      </c>
      <c r="R7" s="19">
        <v>0.0</v>
      </c>
      <c r="S7" s="18"/>
      <c r="T7" s="12"/>
    </row>
    <row r="8">
      <c r="A8" s="15" t="s">
        <v>21</v>
      </c>
      <c r="B8" s="16">
        <v>45267.0</v>
      </c>
      <c r="C8" s="15">
        <v>0.0</v>
      </c>
      <c r="D8" s="19">
        <v>1.0</v>
      </c>
      <c r="E8" s="19">
        <v>1.0</v>
      </c>
      <c r="F8" s="19">
        <v>0.5</v>
      </c>
      <c r="G8" s="19">
        <v>0.0</v>
      </c>
      <c r="H8" s="19">
        <v>0.0</v>
      </c>
      <c r="I8" s="19">
        <v>1.0</v>
      </c>
      <c r="J8" s="19">
        <v>1.0</v>
      </c>
      <c r="K8" s="19">
        <v>0.0</v>
      </c>
      <c r="L8" s="19">
        <v>0.0</v>
      </c>
      <c r="M8" s="89">
        <v>0.0</v>
      </c>
      <c r="N8" s="19">
        <v>0.5</v>
      </c>
      <c r="O8" s="19"/>
      <c r="P8" s="19">
        <v>1.0</v>
      </c>
      <c r="Q8" s="19">
        <v>1.0</v>
      </c>
      <c r="R8" s="19">
        <v>0.0</v>
      </c>
      <c r="S8" s="18"/>
      <c r="T8" s="12"/>
    </row>
    <row r="9">
      <c r="A9" s="7" t="s">
        <v>9</v>
      </c>
      <c r="B9" s="8">
        <v>45268.0</v>
      </c>
      <c r="C9" s="7">
        <v>1.0</v>
      </c>
      <c r="D9" s="31">
        <v>0.0</v>
      </c>
      <c r="E9" s="31">
        <v>0.0</v>
      </c>
      <c r="F9" s="31">
        <v>0.0</v>
      </c>
      <c r="G9" s="31">
        <v>1.0</v>
      </c>
      <c r="H9" s="31">
        <v>0.0</v>
      </c>
      <c r="I9" s="31">
        <v>1.0</v>
      </c>
      <c r="J9" s="31">
        <v>1.0</v>
      </c>
      <c r="K9" s="31">
        <v>0.0</v>
      </c>
      <c r="L9" s="31">
        <v>0.0</v>
      </c>
      <c r="M9" s="89">
        <v>0.0</v>
      </c>
      <c r="N9" s="19">
        <v>1.0</v>
      </c>
      <c r="O9" s="19"/>
      <c r="P9" s="19">
        <v>0.0</v>
      </c>
      <c r="Q9" s="19">
        <v>0.0</v>
      </c>
      <c r="R9" s="19">
        <v>0.0</v>
      </c>
      <c r="S9" s="18"/>
      <c r="T9" s="12"/>
    </row>
    <row r="10">
      <c r="A10" s="15" t="s">
        <v>10</v>
      </c>
      <c r="B10" s="16">
        <v>45269.0</v>
      </c>
      <c r="C10" s="15">
        <v>0.5</v>
      </c>
      <c r="D10" s="19">
        <v>-1.0</v>
      </c>
      <c r="E10" s="19">
        <v>1.0</v>
      </c>
      <c r="F10" s="19">
        <v>1.0</v>
      </c>
      <c r="G10" s="19">
        <v>1.0</v>
      </c>
      <c r="H10" s="19">
        <v>0.0</v>
      </c>
      <c r="I10" s="19">
        <v>0.0</v>
      </c>
      <c r="J10" s="19">
        <v>1.0</v>
      </c>
      <c r="K10" s="19">
        <v>0.0</v>
      </c>
      <c r="L10" s="19">
        <v>0.0</v>
      </c>
      <c r="M10" s="89">
        <v>0.0</v>
      </c>
      <c r="N10" s="19">
        <v>1.0</v>
      </c>
      <c r="O10" s="19"/>
      <c r="P10" s="19">
        <v>1.0</v>
      </c>
      <c r="Q10" s="87">
        <v>1.0</v>
      </c>
      <c r="R10" s="87">
        <v>0.0</v>
      </c>
      <c r="S10" s="88"/>
      <c r="T10" s="12"/>
    </row>
    <row r="11">
      <c r="A11" s="15" t="s">
        <v>15</v>
      </c>
      <c r="B11" s="16">
        <v>45270.0</v>
      </c>
      <c r="C11" s="15">
        <v>0.0</v>
      </c>
      <c r="D11" s="19">
        <v>1.0</v>
      </c>
      <c r="E11" s="19">
        <v>1.0</v>
      </c>
      <c r="F11" s="19">
        <v>1.0</v>
      </c>
      <c r="G11" s="19">
        <v>1.0</v>
      </c>
      <c r="H11" s="19">
        <v>1.0</v>
      </c>
      <c r="I11" s="19">
        <v>0.0</v>
      </c>
      <c r="J11" s="19">
        <v>1.0</v>
      </c>
      <c r="K11" s="19">
        <v>1.0</v>
      </c>
      <c r="L11" s="19">
        <v>1.0</v>
      </c>
      <c r="M11" s="89">
        <v>0.0</v>
      </c>
      <c r="N11" s="19">
        <v>0.0</v>
      </c>
      <c r="O11" s="19"/>
      <c r="P11" s="19">
        <v>0.0</v>
      </c>
      <c r="Q11" s="19">
        <v>1.0</v>
      </c>
      <c r="R11" s="19">
        <v>0.0</v>
      </c>
      <c r="S11" s="18"/>
      <c r="T11" s="12"/>
    </row>
    <row r="12">
      <c r="A12" s="15" t="s">
        <v>16</v>
      </c>
      <c r="B12" s="16">
        <v>45271.0</v>
      </c>
      <c r="C12" s="15">
        <v>0.0</v>
      </c>
      <c r="D12" s="19">
        <v>1.0</v>
      </c>
      <c r="E12" s="19">
        <v>1.0</v>
      </c>
      <c r="F12" s="19">
        <v>1.0</v>
      </c>
      <c r="G12" s="19">
        <v>0.5</v>
      </c>
      <c r="H12" s="19">
        <v>0.0</v>
      </c>
      <c r="I12" s="19">
        <v>0.0</v>
      </c>
      <c r="J12" s="19">
        <v>1.0</v>
      </c>
      <c r="K12" s="19">
        <v>1.0</v>
      </c>
      <c r="L12" s="19">
        <v>1.0</v>
      </c>
      <c r="M12" s="89">
        <v>0.0</v>
      </c>
      <c r="N12" s="19">
        <v>1.0</v>
      </c>
      <c r="O12" s="19"/>
      <c r="P12" s="19">
        <v>0.0</v>
      </c>
      <c r="Q12" s="19">
        <v>1.0</v>
      </c>
      <c r="R12" s="19">
        <v>1.0</v>
      </c>
      <c r="S12" s="18"/>
      <c r="T12" s="12"/>
    </row>
    <row r="13">
      <c r="A13" s="15" t="s">
        <v>17</v>
      </c>
      <c r="B13" s="16">
        <v>45272.0</v>
      </c>
      <c r="C13" s="15">
        <v>0.0</v>
      </c>
      <c r="D13" s="19">
        <v>0.0</v>
      </c>
      <c r="E13" s="19">
        <v>1.0</v>
      </c>
      <c r="F13" s="19">
        <v>1.0</v>
      </c>
      <c r="G13" s="19">
        <v>1.0</v>
      </c>
      <c r="H13" s="19">
        <v>0.0</v>
      </c>
      <c r="I13" s="19">
        <v>0.0</v>
      </c>
      <c r="J13" s="19">
        <v>1.0</v>
      </c>
      <c r="K13" s="19">
        <v>1.0</v>
      </c>
      <c r="L13" s="19">
        <v>1.0</v>
      </c>
      <c r="M13" s="89">
        <v>0.0</v>
      </c>
      <c r="N13" s="19">
        <v>0.0</v>
      </c>
      <c r="O13" s="19"/>
      <c r="P13" s="19">
        <v>1.0</v>
      </c>
      <c r="Q13" s="19">
        <v>1.0</v>
      </c>
      <c r="R13" s="19">
        <v>1.0</v>
      </c>
      <c r="S13" s="76" t="s">
        <v>72</v>
      </c>
      <c r="T13" s="12"/>
    </row>
    <row r="14">
      <c r="A14" s="15" t="s">
        <v>20</v>
      </c>
      <c r="B14" s="16">
        <v>45273.0</v>
      </c>
      <c r="C14" s="15">
        <v>0.0</v>
      </c>
      <c r="D14" s="19">
        <v>1.0</v>
      </c>
      <c r="E14" s="19">
        <v>1.0</v>
      </c>
      <c r="F14" s="19">
        <v>1.0</v>
      </c>
      <c r="G14" s="19">
        <v>1.0</v>
      </c>
      <c r="H14" s="19">
        <v>0.0</v>
      </c>
      <c r="I14" s="19">
        <v>0.0</v>
      </c>
      <c r="J14" s="19">
        <v>0.0</v>
      </c>
      <c r="K14" s="19">
        <v>1.0</v>
      </c>
      <c r="L14" s="19">
        <v>1.0</v>
      </c>
      <c r="M14" s="89">
        <v>0.0</v>
      </c>
      <c r="N14" s="19">
        <v>1.0</v>
      </c>
      <c r="O14" s="19"/>
      <c r="P14" s="19">
        <v>0.0</v>
      </c>
      <c r="Q14" s="19">
        <v>1.0</v>
      </c>
      <c r="R14" s="19">
        <v>1.0</v>
      </c>
      <c r="S14" s="76" t="s">
        <v>73</v>
      </c>
      <c r="T14" s="12"/>
    </row>
    <row r="15">
      <c r="A15" s="15" t="s">
        <v>21</v>
      </c>
      <c r="B15" s="16">
        <v>45274.0</v>
      </c>
      <c r="C15" s="15">
        <v>0.0</v>
      </c>
      <c r="D15" s="19">
        <v>1.0</v>
      </c>
      <c r="E15" s="19">
        <v>1.0</v>
      </c>
      <c r="F15" s="19" t="s">
        <v>74</v>
      </c>
      <c r="G15" s="19">
        <v>1.0</v>
      </c>
      <c r="H15" s="19">
        <v>0.0</v>
      </c>
      <c r="I15" s="19">
        <v>0.0</v>
      </c>
      <c r="J15" s="19">
        <v>1.0</v>
      </c>
      <c r="K15" s="19">
        <v>1.0</v>
      </c>
      <c r="L15" s="19">
        <v>1.0</v>
      </c>
      <c r="M15" s="89">
        <v>0.0</v>
      </c>
      <c r="N15" s="19">
        <v>1.0</v>
      </c>
      <c r="O15" s="19"/>
      <c r="P15" s="19">
        <v>1.0</v>
      </c>
      <c r="Q15" s="19">
        <v>1.0</v>
      </c>
      <c r="R15" s="19">
        <v>1.0</v>
      </c>
      <c r="S15" s="90" t="s">
        <v>75</v>
      </c>
      <c r="T15" s="12"/>
    </row>
    <row r="16">
      <c r="A16" s="48" t="s">
        <v>9</v>
      </c>
      <c r="B16" s="49">
        <v>45275.0</v>
      </c>
      <c r="C16" s="91">
        <v>2.0</v>
      </c>
      <c r="D16" s="92">
        <v>1.0</v>
      </c>
      <c r="E16" s="92">
        <v>0.0</v>
      </c>
      <c r="F16" s="92">
        <v>0.0</v>
      </c>
      <c r="G16" s="92">
        <v>1.0</v>
      </c>
      <c r="H16" s="92">
        <v>0.0</v>
      </c>
      <c r="I16" s="92">
        <v>0.5</v>
      </c>
      <c r="J16" s="92">
        <v>1.0</v>
      </c>
      <c r="K16" s="92">
        <v>0.0</v>
      </c>
      <c r="L16" s="92">
        <v>0.0</v>
      </c>
      <c r="M16" s="93">
        <v>0.0</v>
      </c>
      <c r="N16" s="94">
        <v>0.0</v>
      </c>
      <c r="O16" s="94"/>
      <c r="P16" s="94">
        <v>0.0</v>
      </c>
      <c r="Q16" s="19">
        <v>0.0</v>
      </c>
      <c r="R16" s="19">
        <v>0.0</v>
      </c>
      <c r="S16" s="18"/>
      <c r="T16" s="12"/>
    </row>
    <row r="17">
      <c r="A17" s="15" t="s">
        <v>10</v>
      </c>
      <c r="B17" s="16">
        <v>45276.0</v>
      </c>
      <c r="C17" s="15">
        <v>1.0</v>
      </c>
      <c r="D17" s="19">
        <v>1.0</v>
      </c>
      <c r="E17" s="19">
        <v>1.0</v>
      </c>
      <c r="F17" s="19">
        <v>1.0</v>
      </c>
      <c r="G17" s="19">
        <v>1.0</v>
      </c>
      <c r="H17" s="19">
        <v>0.0</v>
      </c>
      <c r="I17" s="19">
        <v>0.0</v>
      </c>
      <c r="J17" s="19">
        <v>1.0</v>
      </c>
      <c r="K17" s="19">
        <v>0.0</v>
      </c>
      <c r="L17" s="19">
        <v>0.0</v>
      </c>
      <c r="M17" s="89">
        <v>0.0</v>
      </c>
      <c r="N17" s="19">
        <v>1.0</v>
      </c>
      <c r="O17" s="19"/>
      <c r="P17" s="19">
        <v>1.0</v>
      </c>
      <c r="Q17" s="19">
        <v>0.0</v>
      </c>
      <c r="R17" s="19">
        <v>1.0</v>
      </c>
      <c r="S17" s="76" t="s">
        <v>76</v>
      </c>
      <c r="T17" s="12"/>
    </row>
    <row r="18">
      <c r="A18" s="15" t="s">
        <v>15</v>
      </c>
      <c r="B18" s="16">
        <v>45277.0</v>
      </c>
      <c r="C18" s="15">
        <v>0.0</v>
      </c>
      <c r="D18" s="19">
        <v>1.0</v>
      </c>
      <c r="E18" s="19">
        <v>1.0</v>
      </c>
      <c r="F18" s="19">
        <v>1.0</v>
      </c>
      <c r="G18" s="19">
        <v>1.0</v>
      </c>
      <c r="H18" s="19">
        <v>0.0</v>
      </c>
      <c r="I18" s="19">
        <v>0.0</v>
      </c>
      <c r="J18" s="19">
        <v>1.0</v>
      </c>
      <c r="K18" s="19">
        <v>1.0</v>
      </c>
      <c r="L18" s="19">
        <v>1.0</v>
      </c>
      <c r="M18" s="89">
        <v>0.0</v>
      </c>
      <c r="N18" s="19">
        <v>0.0</v>
      </c>
      <c r="O18" s="19"/>
      <c r="P18" s="19">
        <v>0.0</v>
      </c>
      <c r="Q18" s="19">
        <v>1.0</v>
      </c>
      <c r="R18" s="19">
        <v>1.0</v>
      </c>
      <c r="S18" s="18"/>
      <c r="T18" s="12"/>
    </row>
    <row r="19">
      <c r="A19" s="15" t="s">
        <v>16</v>
      </c>
      <c r="B19" s="16">
        <v>45278.0</v>
      </c>
      <c r="C19" s="15">
        <v>0.0</v>
      </c>
      <c r="D19" s="19">
        <v>1.0</v>
      </c>
      <c r="E19" s="19">
        <v>1.0</v>
      </c>
      <c r="F19" s="19">
        <v>0.0</v>
      </c>
      <c r="G19" s="19">
        <v>0.0</v>
      </c>
      <c r="H19" s="19">
        <v>0.0</v>
      </c>
      <c r="I19" s="19">
        <v>1.0</v>
      </c>
      <c r="J19" s="19">
        <v>1.0</v>
      </c>
      <c r="K19" s="19">
        <v>1.0</v>
      </c>
      <c r="L19" s="19">
        <v>1.0</v>
      </c>
      <c r="M19" s="89">
        <v>0.0</v>
      </c>
      <c r="N19" s="19">
        <v>1.0</v>
      </c>
      <c r="O19" s="19"/>
      <c r="P19" s="19">
        <v>1.0</v>
      </c>
      <c r="Q19" s="19">
        <v>1.0</v>
      </c>
      <c r="R19" s="19">
        <v>1.0</v>
      </c>
      <c r="S19" s="18"/>
      <c r="T19" s="12"/>
    </row>
    <row r="20">
      <c r="A20" s="15" t="s">
        <v>17</v>
      </c>
      <c r="B20" s="16">
        <v>45279.0</v>
      </c>
      <c r="C20" s="15">
        <v>0.0</v>
      </c>
      <c r="D20" s="19">
        <v>1.0</v>
      </c>
      <c r="E20" s="19">
        <v>1.0</v>
      </c>
      <c r="F20" s="19">
        <v>1.0</v>
      </c>
      <c r="G20" s="19">
        <v>1.0</v>
      </c>
      <c r="H20" s="19">
        <v>0.0</v>
      </c>
      <c r="I20" s="19">
        <v>0.0</v>
      </c>
      <c r="J20" s="19">
        <v>1.0</v>
      </c>
      <c r="K20" s="19">
        <v>1.0</v>
      </c>
      <c r="L20" s="19">
        <v>0.0</v>
      </c>
      <c r="M20" s="89">
        <v>0.0</v>
      </c>
      <c r="N20" s="19">
        <v>0.0</v>
      </c>
      <c r="O20" s="19"/>
      <c r="P20" s="19">
        <v>0.5</v>
      </c>
      <c r="Q20" s="19">
        <v>1.0</v>
      </c>
      <c r="R20" s="19">
        <v>1.0</v>
      </c>
      <c r="S20" s="18"/>
      <c r="T20" s="12"/>
    </row>
    <row r="21">
      <c r="A21" s="15" t="s">
        <v>20</v>
      </c>
      <c r="B21" s="16">
        <v>45280.0</v>
      </c>
      <c r="C21" s="15">
        <v>0.0</v>
      </c>
      <c r="D21" s="19">
        <v>1.0</v>
      </c>
      <c r="E21" s="19">
        <v>1.0</v>
      </c>
      <c r="F21" s="19">
        <v>2.0</v>
      </c>
      <c r="G21" s="19">
        <v>1.0</v>
      </c>
      <c r="H21" s="19">
        <v>0.0</v>
      </c>
      <c r="I21" s="19">
        <v>0.0</v>
      </c>
      <c r="J21" s="19">
        <v>1.0</v>
      </c>
      <c r="K21" s="19">
        <v>2.0</v>
      </c>
      <c r="L21" s="19">
        <v>1.0</v>
      </c>
      <c r="M21" s="89">
        <v>0.0</v>
      </c>
      <c r="N21" s="19">
        <v>0.0</v>
      </c>
      <c r="O21" s="19"/>
      <c r="P21" s="19">
        <v>1.0</v>
      </c>
      <c r="Q21" s="19">
        <v>1.0</v>
      </c>
      <c r="R21" s="19">
        <v>1.0</v>
      </c>
      <c r="S21" s="18"/>
      <c r="T21" s="12"/>
    </row>
    <row r="22">
      <c r="A22" s="15" t="s">
        <v>21</v>
      </c>
      <c r="B22" s="16">
        <v>45281.0</v>
      </c>
      <c r="C22" s="15">
        <v>1.0</v>
      </c>
      <c r="D22" s="19">
        <v>1.0</v>
      </c>
      <c r="E22" s="19">
        <v>1.0</v>
      </c>
      <c r="F22" s="19">
        <v>0.5</v>
      </c>
      <c r="G22" s="19">
        <v>1.0</v>
      </c>
      <c r="H22" s="19">
        <v>0.0</v>
      </c>
      <c r="I22" s="19">
        <v>1.0</v>
      </c>
      <c r="J22" s="19">
        <v>1.0</v>
      </c>
      <c r="K22" s="19">
        <v>0.5</v>
      </c>
      <c r="L22" s="19">
        <v>0.0</v>
      </c>
      <c r="M22" s="89">
        <v>0.0</v>
      </c>
      <c r="N22" s="19">
        <v>1.0</v>
      </c>
      <c r="O22" s="19">
        <v>1.0</v>
      </c>
      <c r="P22" s="19">
        <v>0.0</v>
      </c>
      <c r="Q22" s="19">
        <v>1.0</v>
      </c>
      <c r="R22" s="19">
        <v>0.75</v>
      </c>
      <c r="S22" s="95" t="s">
        <v>67</v>
      </c>
      <c r="T22" s="12"/>
    </row>
    <row r="23">
      <c r="A23" s="48" t="s">
        <v>9</v>
      </c>
      <c r="B23" s="49">
        <v>45282.0</v>
      </c>
      <c r="C23" s="96">
        <v>1.0</v>
      </c>
      <c r="D23" s="97">
        <v>1.0</v>
      </c>
      <c r="E23" s="97">
        <v>0.0</v>
      </c>
      <c r="F23" s="97">
        <v>0.0</v>
      </c>
      <c r="G23" s="97">
        <v>1.0</v>
      </c>
      <c r="H23" s="97">
        <v>1.0</v>
      </c>
      <c r="I23" s="97">
        <v>1.0</v>
      </c>
      <c r="J23" s="97">
        <v>1.0</v>
      </c>
      <c r="K23" s="97">
        <v>0.0</v>
      </c>
      <c r="L23" s="97">
        <v>0.0</v>
      </c>
      <c r="M23" s="97">
        <v>0.0</v>
      </c>
      <c r="N23" s="97">
        <v>1.0</v>
      </c>
      <c r="O23" s="97">
        <v>0.0</v>
      </c>
      <c r="P23" s="97">
        <v>0.0</v>
      </c>
      <c r="Q23" s="97">
        <v>0.0</v>
      </c>
      <c r="R23" s="97">
        <v>0.0</v>
      </c>
      <c r="S23" s="18"/>
      <c r="T23" s="12"/>
    </row>
    <row r="24">
      <c r="A24" s="15" t="s">
        <v>10</v>
      </c>
      <c r="B24" s="16">
        <v>45283.0</v>
      </c>
      <c r="C24" s="15">
        <v>1.0</v>
      </c>
      <c r="D24" s="19">
        <v>1.0</v>
      </c>
      <c r="E24" s="19">
        <v>1.0</v>
      </c>
      <c r="F24" s="19">
        <v>0.5</v>
      </c>
      <c r="G24" s="19">
        <v>1.0</v>
      </c>
      <c r="H24" s="19">
        <v>1.0</v>
      </c>
      <c r="I24" s="19">
        <v>0.0</v>
      </c>
      <c r="J24" s="19">
        <v>1.0</v>
      </c>
      <c r="K24" s="19">
        <v>1.0</v>
      </c>
      <c r="L24" s="19">
        <v>0.0</v>
      </c>
      <c r="M24" s="89">
        <v>0.0</v>
      </c>
      <c r="N24" s="19">
        <v>0.0</v>
      </c>
      <c r="O24" s="19">
        <v>1.0</v>
      </c>
      <c r="P24" s="19">
        <v>0.0</v>
      </c>
      <c r="Q24" s="19">
        <v>1.0</v>
      </c>
      <c r="R24" s="19">
        <v>1.0</v>
      </c>
      <c r="S24" s="19" t="s">
        <v>67</v>
      </c>
      <c r="T24" s="12"/>
    </row>
    <row r="25">
      <c r="A25" s="15" t="s">
        <v>15</v>
      </c>
      <c r="B25" s="16">
        <v>45284.0</v>
      </c>
      <c r="C25" s="15">
        <v>0.5</v>
      </c>
      <c r="D25" s="19">
        <v>1.0</v>
      </c>
      <c r="E25" s="19">
        <v>1.0</v>
      </c>
      <c r="F25" s="19">
        <v>1.0</v>
      </c>
      <c r="G25" s="19">
        <v>1.0</v>
      </c>
      <c r="H25" s="19">
        <v>0.0</v>
      </c>
      <c r="I25" s="19">
        <v>1.0</v>
      </c>
      <c r="J25" s="19">
        <v>1.0</v>
      </c>
      <c r="K25" s="19">
        <v>1.0</v>
      </c>
      <c r="L25" s="19">
        <v>0.0</v>
      </c>
      <c r="M25" s="89">
        <v>0.0</v>
      </c>
      <c r="N25" s="19">
        <v>0.0</v>
      </c>
      <c r="O25" s="19">
        <v>0.0</v>
      </c>
      <c r="P25" s="19">
        <v>1.0</v>
      </c>
      <c r="Q25" s="19">
        <v>1.0</v>
      </c>
      <c r="R25" s="19">
        <v>0.0</v>
      </c>
      <c r="S25" s="18"/>
      <c r="T25" s="12"/>
    </row>
    <row r="26">
      <c r="A26" s="15" t="s">
        <v>16</v>
      </c>
      <c r="B26" s="16">
        <v>45285.0</v>
      </c>
      <c r="C26" s="15">
        <v>0.0</v>
      </c>
      <c r="D26" s="19">
        <v>1.0</v>
      </c>
      <c r="E26" s="19">
        <v>1.0</v>
      </c>
      <c r="F26" s="19">
        <v>1.0</v>
      </c>
      <c r="G26" s="19">
        <v>0.0</v>
      </c>
      <c r="H26" s="19">
        <v>0.0</v>
      </c>
      <c r="I26" s="19">
        <v>1.0</v>
      </c>
      <c r="J26" s="19">
        <v>0.0</v>
      </c>
      <c r="K26" s="19">
        <v>1.0</v>
      </c>
      <c r="L26" s="19">
        <v>0.0</v>
      </c>
      <c r="M26" s="89">
        <v>0.0</v>
      </c>
      <c r="N26" s="19">
        <v>0.0</v>
      </c>
      <c r="O26" s="19">
        <v>0.0</v>
      </c>
      <c r="P26" s="19">
        <v>0.0</v>
      </c>
      <c r="Q26" s="19">
        <v>1.0</v>
      </c>
      <c r="R26" s="19">
        <v>1.0</v>
      </c>
      <c r="S26" s="90">
        <v>0.0</v>
      </c>
      <c r="T26" s="12"/>
    </row>
    <row r="27">
      <c r="A27" s="15" t="s">
        <v>17</v>
      </c>
      <c r="B27" s="16">
        <v>45286.0</v>
      </c>
      <c r="C27" s="15">
        <v>0.0</v>
      </c>
      <c r="D27" s="19">
        <v>1.0</v>
      </c>
      <c r="E27" s="19">
        <v>1.0</v>
      </c>
      <c r="F27" s="19">
        <v>1.0</v>
      </c>
      <c r="G27" s="19">
        <v>0.0</v>
      </c>
      <c r="H27" s="19">
        <v>0.0</v>
      </c>
      <c r="I27" s="19">
        <v>1.0</v>
      </c>
      <c r="J27" s="19">
        <v>1.0</v>
      </c>
      <c r="K27" s="19">
        <v>0.5</v>
      </c>
      <c r="L27" s="19">
        <v>0.0</v>
      </c>
      <c r="M27" s="89">
        <v>0.0</v>
      </c>
      <c r="N27" s="19">
        <v>0.0</v>
      </c>
      <c r="O27" s="19">
        <v>1.0</v>
      </c>
      <c r="P27" s="19">
        <v>1.0</v>
      </c>
      <c r="Q27" s="19">
        <v>1.0</v>
      </c>
      <c r="R27" s="19">
        <v>1.0</v>
      </c>
      <c r="S27" s="76">
        <v>0.0</v>
      </c>
      <c r="T27" s="12"/>
    </row>
    <row r="28">
      <c r="A28" s="15" t="s">
        <v>20</v>
      </c>
      <c r="B28" s="16">
        <v>45287.0</v>
      </c>
      <c r="C28" s="15">
        <v>1.0</v>
      </c>
      <c r="D28" s="19">
        <v>1.0</v>
      </c>
      <c r="E28" s="19">
        <v>1.0</v>
      </c>
      <c r="F28" s="19">
        <v>1.0</v>
      </c>
      <c r="G28" s="19">
        <v>1.0</v>
      </c>
      <c r="H28" s="19">
        <v>1.0</v>
      </c>
      <c r="I28" s="19">
        <v>0.0</v>
      </c>
      <c r="J28" s="19">
        <v>1.0</v>
      </c>
      <c r="K28" s="19">
        <v>1.0</v>
      </c>
      <c r="L28" s="19">
        <v>1.0</v>
      </c>
      <c r="M28" s="89">
        <v>0.0</v>
      </c>
      <c r="N28" s="19">
        <v>0.0</v>
      </c>
      <c r="O28" s="19">
        <v>1.0</v>
      </c>
      <c r="P28" s="19">
        <v>0.0</v>
      </c>
      <c r="Q28" s="19">
        <v>1.0</v>
      </c>
      <c r="R28" s="19">
        <v>1.0</v>
      </c>
      <c r="S28" s="18"/>
      <c r="T28" s="12"/>
    </row>
    <row r="29">
      <c r="A29" s="15" t="s">
        <v>21</v>
      </c>
      <c r="B29" s="16">
        <v>45288.0</v>
      </c>
      <c r="C29" s="15">
        <v>1.0</v>
      </c>
      <c r="D29" s="19">
        <v>1.0</v>
      </c>
      <c r="E29" s="19">
        <v>1.0</v>
      </c>
      <c r="F29" s="19">
        <v>0.0</v>
      </c>
      <c r="G29" s="19">
        <v>1.0</v>
      </c>
      <c r="H29" s="19">
        <v>0.0</v>
      </c>
      <c r="I29" s="19">
        <v>0.0</v>
      </c>
      <c r="J29" s="19">
        <v>1.0</v>
      </c>
      <c r="K29" s="19">
        <v>0.5</v>
      </c>
      <c r="L29" s="19">
        <v>1.0</v>
      </c>
      <c r="M29" s="89">
        <v>0.0</v>
      </c>
      <c r="N29" s="19">
        <v>0.0</v>
      </c>
      <c r="O29" s="19">
        <v>1.0</v>
      </c>
      <c r="P29" s="19">
        <v>1.0</v>
      </c>
      <c r="Q29" s="19">
        <v>1.0</v>
      </c>
      <c r="R29" s="19">
        <v>1.0</v>
      </c>
      <c r="S29" s="18"/>
      <c r="T29" s="12"/>
    </row>
    <row r="30">
      <c r="A30" s="48" t="s">
        <v>9</v>
      </c>
      <c r="B30" s="49">
        <v>45289.0</v>
      </c>
      <c r="C30" s="7">
        <v>1.0</v>
      </c>
      <c r="D30" s="31">
        <v>1.0</v>
      </c>
      <c r="E30" s="31">
        <v>0.0</v>
      </c>
      <c r="F30" s="31">
        <v>0.0</v>
      </c>
      <c r="G30" s="31">
        <v>1.0</v>
      </c>
      <c r="H30" s="31">
        <v>0.0</v>
      </c>
      <c r="I30" s="31">
        <v>0.0</v>
      </c>
      <c r="J30" s="31">
        <v>1.0</v>
      </c>
      <c r="K30" s="31">
        <v>0.0</v>
      </c>
      <c r="L30" s="31">
        <v>0.0</v>
      </c>
      <c r="M30" s="89">
        <v>0.0</v>
      </c>
      <c r="N30" s="19">
        <v>0.0</v>
      </c>
      <c r="O30" s="97">
        <v>0.0</v>
      </c>
      <c r="P30" s="19">
        <v>1.0</v>
      </c>
      <c r="Q30" s="19">
        <v>0.0</v>
      </c>
      <c r="R30" s="19">
        <v>0.0</v>
      </c>
      <c r="S30" s="18"/>
      <c r="T30" s="12"/>
    </row>
    <row r="31">
      <c r="A31" s="15" t="s">
        <v>10</v>
      </c>
      <c r="B31" s="16">
        <v>45290.0</v>
      </c>
      <c r="C31" s="15">
        <v>1.0</v>
      </c>
      <c r="D31" s="19">
        <v>1.0</v>
      </c>
      <c r="E31" s="19">
        <v>1.0</v>
      </c>
      <c r="F31" s="19">
        <v>1.0</v>
      </c>
      <c r="G31" s="19">
        <v>1.0</v>
      </c>
      <c r="H31" s="19">
        <v>1.0</v>
      </c>
      <c r="I31" s="19">
        <v>0.0</v>
      </c>
      <c r="J31" s="19">
        <v>1.0</v>
      </c>
      <c r="K31" s="19">
        <v>0.5</v>
      </c>
      <c r="L31" s="19">
        <v>0.0</v>
      </c>
      <c r="M31" s="89">
        <v>0.0</v>
      </c>
      <c r="N31" s="19">
        <v>0.0</v>
      </c>
      <c r="O31" s="19">
        <v>1.0</v>
      </c>
      <c r="P31" s="19">
        <v>1.0</v>
      </c>
      <c r="Q31" s="19">
        <v>1.0</v>
      </c>
      <c r="R31" s="19">
        <v>1.0</v>
      </c>
      <c r="S31" s="18"/>
      <c r="T31" s="12"/>
    </row>
    <row r="32">
      <c r="A32" s="15" t="s">
        <v>15</v>
      </c>
      <c r="B32" s="16">
        <v>45291.0</v>
      </c>
      <c r="C32" s="15">
        <v>1.0</v>
      </c>
      <c r="D32" s="19">
        <v>1.0</v>
      </c>
      <c r="E32" s="19">
        <v>1.0</v>
      </c>
      <c r="F32" s="19">
        <v>1.0</v>
      </c>
      <c r="G32" s="19">
        <v>1.0</v>
      </c>
      <c r="H32" s="19">
        <v>1.0</v>
      </c>
      <c r="I32" s="19">
        <v>0.0</v>
      </c>
      <c r="J32" s="19">
        <v>1.0</v>
      </c>
      <c r="K32" s="19">
        <v>1.0</v>
      </c>
      <c r="L32" s="19">
        <v>0.0</v>
      </c>
      <c r="M32" s="89">
        <v>0.0</v>
      </c>
      <c r="N32" s="19">
        <v>0.0</v>
      </c>
      <c r="O32" s="19">
        <v>1.0</v>
      </c>
      <c r="P32" s="19">
        <v>1.0</v>
      </c>
      <c r="Q32" s="19">
        <v>1.0</v>
      </c>
      <c r="R32" s="19">
        <v>1.0</v>
      </c>
      <c r="S32" s="18"/>
      <c r="T32" s="12"/>
    </row>
    <row r="33">
      <c r="C33" s="98">
        <f t="shared" ref="C33:R33" si="1">SUM(C2:C32)</f>
        <v>15</v>
      </c>
      <c r="D33" s="99">
        <f t="shared" si="1"/>
        <v>25</v>
      </c>
      <c r="E33" s="99">
        <f t="shared" si="1"/>
        <v>26</v>
      </c>
      <c r="F33" s="99">
        <f t="shared" si="1"/>
        <v>22.5</v>
      </c>
      <c r="G33" s="99">
        <f t="shared" si="1"/>
        <v>25.5</v>
      </c>
      <c r="H33" s="99">
        <f t="shared" si="1"/>
        <v>7</v>
      </c>
      <c r="I33" s="99">
        <f t="shared" si="1"/>
        <v>10.5</v>
      </c>
      <c r="J33" s="99">
        <f t="shared" si="1"/>
        <v>30</v>
      </c>
      <c r="K33" s="99">
        <f t="shared" si="1"/>
        <v>17</v>
      </c>
      <c r="L33" s="99">
        <f t="shared" si="1"/>
        <v>10</v>
      </c>
      <c r="M33" s="99">
        <f t="shared" si="1"/>
        <v>0.25</v>
      </c>
      <c r="N33" s="99">
        <f t="shared" si="1"/>
        <v>12</v>
      </c>
      <c r="O33" s="99">
        <f t="shared" si="1"/>
        <v>7</v>
      </c>
      <c r="P33" s="99">
        <f t="shared" si="1"/>
        <v>17.5</v>
      </c>
      <c r="Q33" s="86">
        <f t="shared" si="1"/>
        <v>25</v>
      </c>
      <c r="R33" s="86">
        <f t="shared" si="1"/>
        <v>20.75</v>
      </c>
      <c r="S33" s="13"/>
      <c r="T33" s="12"/>
    </row>
    <row r="34">
      <c r="C34" s="100">
        <v>1300.0</v>
      </c>
      <c r="D34" s="101">
        <v>1400.0</v>
      </c>
      <c r="E34" s="101">
        <v>1270.0</v>
      </c>
      <c r="F34" s="101">
        <v>1270.0</v>
      </c>
      <c r="G34" s="101">
        <v>1154.0</v>
      </c>
      <c r="H34" s="101">
        <v>1154.0</v>
      </c>
      <c r="I34" s="101">
        <v>1154.0</v>
      </c>
      <c r="J34" s="102">
        <v>1000.0</v>
      </c>
      <c r="K34" s="102">
        <v>1400.0</v>
      </c>
      <c r="L34" s="102">
        <v>1500.0</v>
      </c>
      <c r="M34" s="103">
        <v>1270.0</v>
      </c>
      <c r="N34" s="103">
        <v>1200.0</v>
      </c>
      <c r="O34" s="102">
        <v>1100.0</v>
      </c>
      <c r="P34" s="102">
        <v>1100.0</v>
      </c>
      <c r="Q34" s="14">
        <v>1100.0</v>
      </c>
      <c r="R34" s="17">
        <v>1100.0</v>
      </c>
      <c r="S34" s="104">
        <f>SUM(D34:I34)</f>
        <v>7402</v>
      </c>
      <c r="T34" s="4"/>
    </row>
    <row r="35">
      <c r="C35" s="105">
        <f>C33*C34</f>
        <v>19500</v>
      </c>
      <c r="D35" s="105">
        <f t="shared" ref="D35:J35" si="2">D34*D33</f>
        <v>35000</v>
      </c>
      <c r="E35" s="105">
        <f t="shared" si="2"/>
        <v>33020</v>
      </c>
      <c r="F35" s="105">
        <f t="shared" si="2"/>
        <v>28575</v>
      </c>
      <c r="G35" s="105">
        <f t="shared" si="2"/>
        <v>29427</v>
      </c>
      <c r="H35" s="105">
        <f t="shared" si="2"/>
        <v>8078</v>
      </c>
      <c r="I35" s="105">
        <f t="shared" si="2"/>
        <v>12117</v>
      </c>
      <c r="J35" s="106">
        <f t="shared" si="2"/>
        <v>30000</v>
      </c>
      <c r="K35" s="106">
        <f t="shared" ref="K35:O35" si="3">K33*K34</f>
        <v>23800</v>
      </c>
      <c r="L35" s="106">
        <f t="shared" si="3"/>
        <v>15000</v>
      </c>
      <c r="M35" s="106">
        <f t="shared" si="3"/>
        <v>317.5</v>
      </c>
      <c r="N35" s="106">
        <f t="shared" si="3"/>
        <v>14400</v>
      </c>
      <c r="O35" s="106">
        <f t="shared" si="3"/>
        <v>7700</v>
      </c>
      <c r="P35" s="106">
        <f t="shared" ref="P35:Q35" si="4">P34*P33</f>
        <v>19250</v>
      </c>
      <c r="Q35" s="107">
        <f t="shared" si="4"/>
        <v>27500</v>
      </c>
      <c r="R35" s="107">
        <f>R33*R34</f>
        <v>22825</v>
      </c>
      <c r="S35" s="4"/>
      <c r="T35" s="4"/>
    </row>
    <row r="36">
      <c r="C36" s="108">
        <v>33000.0</v>
      </c>
      <c r="D36" s="108">
        <v>36000.0</v>
      </c>
      <c r="E36" s="108">
        <v>33000.0</v>
      </c>
      <c r="F36" s="108">
        <v>33000.0</v>
      </c>
      <c r="G36" s="108">
        <v>30000.0</v>
      </c>
      <c r="H36" s="109">
        <v>30000.0</v>
      </c>
      <c r="I36" s="109">
        <v>30000.0</v>
      </c>
      <c r="J36" s="109">
        <v>28000.0</v>
      </c>
      <c r="K36" s="109">
        <v>36000.0</v>
      </c>
      <c r="L36" s="108">
        <v>36000.0</v>
      </c>
      <c r="M36" s="108">
        <v>33000.0</v>
      </c>
      <c r="N36" s="58"/>
      <c r="O36" s="108"/>
      <c r="P36" s="110">
        <v>28000.0</v>
      </c>
      <c r="Q36" s="39">
        <v>28000.0</v>
      </c>
      <c r="R36" s="33">
        <v>28000.0</v>
      </c>
      <c r="S36" s="4"/>
      <c r="T36" s="4"/>
    </row>
    <row r="37">
      <c r="C37" s="4"/>
      <c r="D37" s="111">
        <v>31000.0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6.63"/>
    <col customWidth="1" min="6" max="7" width="38.63"/>
    <col customWidth="1" min="8" max="8" width="37.88"/>
    <col customWidth="1" min="9" max="9" width="38.88"/>
  </cols>
  <sheetData>
    <row r="5">
      <c r="E5" s="112" t="s">
        <v>77</v>
      </c>
      <c r="F5" s="113" t="s">
        <v>78</v>
      </c>
      <c r="G5" s="113" t="s">
        <v>79</v>
      </c>
      <c r="H5" s="113" t="s">
        <v>80</v>
      </c>
      <c r="I5" s="113" t="s">
        <v>81</v>
      </c>
    </row>
    <row r="6">
      <c r="E6" s="114" t="s">
        <v>82</v>
      </c>
      <c r="F6" s="115">
        <v>25.0</v>
      </c>
      <c r="G6" s="115">
        <v>100.0</v>
      </c>
      <c r="H6" s="116">
        <f t="shared" ref="H6:H29" si="1">F6*G6</f>
        <v>2500</v>
      </c>
      <c r="I6" s="117" t="s">
        <v>83</v>
      </c>
    </row>
    <row r="7">
      <c r="E7" s="118" t="s">
        <v>84</v>
      </c>
      <c r="F7" s="33">
        <v>3.0</v>
      </c>
      <c r="G7" s="33">
        <v>1000.0</v>
      </c>
      <c r="H7" s="116">
        <f t="shared" si="1"/>
        <v>3000</v>
      </c>
      <c r="I7" s="119"/>
    </row>
    <row r="8">
      <c r="E8" s="118" t="s">
        <v>85</v>
      </c>
      <c r="F8" s="33">
        <v>1.5</v>
      </c>
      <c r="G8" s="33">
        <v>200.0</v>
      </c>
      <c r="H8" s="116">
        <f t="shared" si="1"/>
        <v>300</v>
      </c>
      <c r="I8" s="119"/>
    </row>
    <row r="9">
      <c r="E9" s="118" t="s">
        <v>86</v>
      </c>
      <c r="F9" s="33">
        <v>20.0</v>
      </c>
      <c r="G9" s="33">
        <v>60.0</v>
      </c>
      <c r="H9" s="116">
        <f t="shared" si="1"/>
        <v>1200</v>
      </c>
      <c r="I9" s="119"/>
    </row>
    <row r="10">
      <c r="E10" s="120" t="s">
        <v>87</v>
      </c>
      <c r="F10" s="121">
        <v>3.0</v>
      </c>
      <c r="G10" s="121">
        <v>600.0</v>
      </c>
      <c r="H10" s="122">
        <f t="shared" si="1"/>
        <v>1800</v>
      </c>
      <c r="I10" s="119"/>
    </row>
    <row r="11">
      <c r="E11" s="120" t="s">
        <v>82</v>
      </c>
      <c r="F11" s="121">
        <v>5.0</v>
      </c>
      <c r="G11" s="121">
        <v>100.0</v>
      </c>
      <c r="H11" s="122">
        <f t="shared" si="1"/>
        <v>500</v>
      </c>
      <c r="I11" s="119"/>
    </row>
    <row r="12">
      <c r="E12" s="123" t="s">
        <v>88</v>
      </c>
      <c r="F12" s="124">
        <v>1.0</v>
      </c>
      <c r="G12" s="124">
        <v>600.0</v>
      </c>
      <c r="H12" s="74">
        <f t="shared" si="1"/>
        <v>600</v>
      </c>
      <c r="I12" s="119"/>
    </row>
    <row r="13">
      <c r="E13" s="123" t="s">
        <v>89</v>
      </c>
      <c r="F13" s="124">
        <v>5.0</v>
      </c>
      <c r="G13" s="124">
        <v>80.0</v>
      </c>
      <c r="H13" s="74">
        <f t="shared" si="1"/>
        <v>400</v>
      </c>
      <c r="I13" s="119"/>
    </row>
    <row r="14">
      <c r="E14" s="123" t="s">
        <v>90</v>
      </c>
      <c r="F14" s="124">
        <v>1.0</v>
      </c>
      <c r="G14" s="124">
        <v>300.0</v>
      </c>
      <c r="H14" s="74">
        <f t="shared" si="1"/>
        <v>300</v>
      </c>
      <c r="I14" s="119"/>
    </row>
    <row r="15">
      <c r="E15" s="123" t="s">
        <v>91</v>
      </c>
      <c r="F15" s="124">
        <v>1.0</v>
      </c>
      <c r="G15" s="124">
        <v>450.0</v>
      </c>
      <c r="H15" s="74">
        <f t="shared" si="1"/>
        <v>450</v>
      </c>
      <c r="I15" s="119"/>
    </row>
    <row r="16">
      <c r="E16" s="120" t="s">
        <v>92</v>
      </c>
      <c r="F16" s="121">
        <v>1.0</v>
      </c>
      <c r="G16" s="121">
        <v>1500.0</v>
      </c>
      <c r="H16" s="122">
        <f t="shared" si="1"/>
        <v>1500</v>
      </c>
      <c r="I16" s="119"/>
    </row>
    <row r="17">
      <c r="E17" s="123" t="s">
        <v>93</v>
      </c>
      <c r="F17" s="124">
        <v>2.0</v>
      </c>
      <c r="G17" s="124">
        <v>400.0</v>
      </c>
      <c r="H17" s="74">
        <f t="shared" si="1"/>
        <v>800</v>
      </c>
      <c r="I17" s="119"/>
    </row>
    <row r="18">
      <c r="E18" s="123" t="s">
        <v>94</v>
      </c>
      <c r="F18" s="125">
        <v>8.0</v>
      </c>
      <c r="G18" s="124">
        <v>245.0</v>
      </c>
      <c r="H18" s="74">
        <f t="shared" si="1"/>
        <v>1960</v>
      </c>
      <c r="I18" s="119"/>
    </row>
    <row r="19">
      <c r="E19" s="123" t="s">
        <v>95</v>
      </c>
      <c r="F19" s="125">
        <v>8.0</v>
      </c>
      <c r="G19" s="124">
        <v>1850.0</v>
      </c>
      <c r="H19" s="74">
        <f t="shared" si="1"/>
        <v>14800</v>
      </c>
      <c r="I19" s="119"/>
    </row>
    <row r="20">
      <c r="E20" s="123" t="s">
        <v>96</v>
      </c>
      <c r="F20" s="124">
        <v>3.0</v>
      </c>
      <c r="G20" s="124">
        <v>1400.0</v>
      </c>
      <c r="H20" s="74">
        <f t="shared" si="1"/>
        <v>4200</v>
      </c>
      <c r="I20" s="119"/>
    </row>
    <row r="21">
      <c r="E21" s="123" t="s">
        <v>97</v>
      </c>
      <c r="F21" s="125">
        <v>7.0</v>
      </c>
      <c r="G21" s="124">
        <v>530.0</v>
      </c>
      <c r="H21" s="74">
        <f t="shared" si="1"/>
        <v>3710</v>
      </c>
      <c r="I21" s="119"/>
    </row>
    <row r="22">
      <c r="E22" s="123" t="s">
        <v>98</v>
      </c>
      <c r="F22" s="124">
        <v>4.0</v>
      </c>
      <c r="G22" s="124">
        <v>650.0</v>
      </c>
      <c r="H22" s="74">
        <f t="shared" si="1"/>
        <v>2600</v>
      </c>
      <c r="I22" s="119"/>
    </row>
    <row r="23">
      <c r="E23" s="123" t="s">
        <v>99</v>
      </c>
      <c r="F23" s="124">
        <v>2.0</v>
      </c>
      <c r="G23" s="124">
        <v>300.0</v>
      </c>
      <c r="H23" s="74">
        <f t="shared" si="1"/>
        <v>600</v>
      </c>
      <c r="I23" s="119"/>
    </row>
    <row r="24">
      <c r="E24" s="123" t="s">
        <v>100</v>
      </c>
      <c r="F24" s="124">
        <v>45.0</v>
      </c>
      <c r="G24" s="124">
        <v>90.0</v>
      </c>
      <c r="H24" s="74">
        <f t="shared" si="1"/>
        <v>4050</v>
      </c>
      <c r="I24" s="119"/>
    </row>
    <row r="25">
      <c r="E25" s="123" t="s">
        <v>101</v>
      </c>
      <c r="F25" s="124">
        <v>1.0</v>
      </c>
      <c r="G25" s="124">
        <v>350.0</v>
      </c>
      <c r="H25" s="74">
        <f t="shared" si="1"/>
        <v>350</v>
      </c>
      <c r="I25" s="119"/>
    </row>
    <row r="26">
      <c r="E26" s="123" t="s">
        <v>102</v>
      </c>
      <c r="F26" s="124">
        <v>1.0</v>
      </c>
      <c r="G26" s="124">
        <v>530.0</v>
      </c>
      <c r="H26" s="74">
        <f t="shared" si="1"/>
        <v>530</v>
      </c>
      <c r="I26" s="119"/>
    </row>
    <row r="27">
      <c r="E27" s="123" t="s">
        <v>103</v>
      </c>
      <c r="F27" s="124">
        <v>10.0</v>
      </c>
      <c r="G27" s="124">
        <v>930.0</v>
      </c>
      <c r="H27" s="74">
        <f t="shared" si="1"/>
        <v>9300</v>
      </c>
      <c r="I27" s="119"/>
    </row>
    <row r="28">
      <c r="E28" s="123" t="s">
        <v>104</v>
      </c>
      <c r="F28" s="124">
        <v>2.0</v>
      </c>
      <c r="G28" s="124">
        <v>1940.0</v>
      </c>
      <c r="H28" s="74">
        <f t="shared" si="1"/>
        <v>3880</v>
      </c>
      <c r="I28" s="119"/>
    </row>
    <row r="29">
      <c r="E29" s="123" t="s">
        <v>105</v>
      </c>
      <c r="F29" s="124">
        <v>1.0</v>
      </c>
      <c r="G29" s="124">
        <v>200.0</v>
      </c>
      <c r="H29" s="74">
        <f t="shared" si="1"/>
        <v>200</v>
      </c>
      <c r="I29" s="119"/>
    </row>
    <row r="30">
      <c r="E30" s="123"/>
      <c r="F30" s="124"/>
      <c r="G30" s="124"/>
      <c r="H30" s="74"/>
      <c r="I30" s="119"/>
    </row>
    <row r="31">
      <c r="E31" s="123" t="s">
        <v>106</v>
      </c>
      <c r="F31" s="124">
        <v>4.0</v>
      </c>
      <c r="G31" s="124">
        <v>100.0</v>
      </c>
      <c r="H31" s="74">
        <f t="shared" ref="H31:H38" si="2">F31*G31</f>
        <v>400</v>
      </c>
      <c r="I31" s="119"/>
    </row>
    <row r="32">
      <c r="E32" s="123" t="s">
        <v>98</v>
      </c>
      <c r="F32" s="124">
        <v>20.0</v>
      </c>
      <c r="G32" s="124">
        <v>600.0</v>
      </c>
      <c r="H32" s="74">
        <f t="shared" si="2"/>
        <v>12000</v>
      </c>
      <c r="I32" s="119"/>
    </row>
    <row r="33">
      <c r="E33" s="123" t="s">
        <v>107</v>
      </c>
      <c r="F33" s="124">
        <v>5.0</v>
      </c>
      <c r="G33" s="124">
        <v>300.0</v>
      </c>
      <c r="H33" s="74">
        <f t="shared" si="2"/>
        <v>1500</v>
      </c>
      <c r="I33" s="119"/>
    </row>
    <row r="34">
      <c r="E34" s="120" t="s">
        <v>108</v>
      </c>
      <c r="F34" s="121">
        <v>5.0</v>
      </c>
      <c r="G34" s="121">
        <v>650.0</v>
      </c>
      <c r="H34" s="122">
        <f t="shared" si="2"/>
        <v>3250</v>
      </c>
      <c r="I34" s="119"/>
    </row>
    <row r="35">
      <c r="E35" s="120" t="s">
        <v>109</v>
      </c>
      <c r="F35" s="126">
        <v>26.0</v>
      </c>
      <c r="G35" s="121">
        <v>190.0</v>
      </c>
      <c r="H35" s="122">
        <f t="shared" si="2"/>
        <v>4940</v>
      </c>
      <c r="I35" s="119"/>
    </row>
    <row r="36">
      <c r="E36" s="123" t="s">
        <v>110</v>
      </c>
      <c r="F36" s="125">
        <v>4.0</v>
      </c>
      <c r="G36" s="124">
        <v>810.0</v>
      </c>
      <c r="H36" s="74">
        <f t="shared" si="2"/>
        <v>3240</v>
      </c>
      <c r="I36" s="119"/>
    </row>
    <row r="37">
      <c r="E37" s="123" t="s">
        <v>111</v>
      </c>
      <c r="F37" s="125">
        <v>100.0</v>
      </c>
      <c r="G37" s="124">
        <v>42.0</v>
      </c>
      <c r="H37" s="74">
        <f t="shared" si="2"/>
        <v>4200</v>
      </c>
      <c r="I37" s="119"/>
    </row>
    <row r="38">
      <c r="E38" s="123" t="s">
        <v>112</v>
      </c>
      <c r="F38" s="125">
        <v>50.0</v>
      </c>
      <c r="G38" s="124">
        <v>21.0</v>
      </c>
      <c r="H38" s="74">
        <f t="shared" si="2"/>
        <v>1050</v>
      </c>
      <c r="I38" s="119"/>
    </row>
    <row r="39">
      <c r="E39" s="120" t="s">
        <v>113</v>
      </c>
      <c r="F39" s="126">
        <v>4.0</v>
      </c>
      <c r="G39" s="121">
        <v>530.0</v>
      </c>
      <c r="H39" s="127">
        <f>G39*F39</f>
        <v>2120</v>
      </c>
      <c r="I39" s="119"/>
    </row>
    <row r="40">
      <c r="E40" s="128" t="s">
        <v>114</v>
      </c>
      <c r="F40" s="115">
        <v>7.0</v>
      </c>
      <c r="G40" s="129">
        <v>200.0</v>
      </c>
      <c r="H40" s="116">
        <f t="shared" ref="H40:H42" si="3">F40*G40</f>
        <v>1400</v>
      </c>
      <c r="I40" s="119"/>
    </row>
    <row r="41">
      <c r="E41" s="130" t="s">
        <v>115</v>
      </c>
      <c r="F41" s="39">
        <v>15.0</v>
      </c>
      <c r="G41" s="39">
        <v>200.0</v>
      </c>
      <c r="H41" s="30">
        <f t="shared" si="3"/>
        <v>3000</v>
      </c>
      <c r="I41" s="119"/>
    </row>
    <row r="42">
      <c r="E42" s="130" t="s">
        <v>116</v>
      </c>
      <c r="F42" s="33">
        <v>4.0</v>
      </c>
      <c r="G42" s="39">
        <v>420.0</v>
      </c>
      <c r="H42" s="30">
        <f t="shared" si="3"/>
        <v>1680</v>
      </c>
      <c r="I42" s="119"/>
    </row>
    <row r="43">
      <c r="E43" s="120" t="s">
        <v>117</v>
      </c>
      <c r="F43" s="126">
        <v>7.0</v>
      </c>
      <c r="G43" s="121">
        <v>200.0</v>
      </c>
      <c r="H43" s="127">
        <f>G43*F43</f>
        <v>1400</v>
      </c>
      <c r="I43" s="119"/>
    </row>
    <row r="44">
      <c r="E44" s="120" t="s">
        <v>118</v>
      </c>
      <c r="F44" s="121">
        <v>1.0</v>
      </c>
      <c r="G44" s="121">
        <v>950.0</v>
      </c>
      <c r="H44" s="122">
        <f t="shared" ref="H44:H50" si="4">F44*G44</f>
        <v>950</v>
      </c>
      <c r="I44" s="119"/>
    </row>
    <row r="45">
      <c r="E45" s="123" t="s">
        <v>119</v>
      </c>
      <c r="F45" s="124">
        <v>1.0</v>
      </c>
      <c r="G45" s="124">
        <v>650.0</v>
      </c>
      <c r="H45" s="74">
        <f t="shared" si="4"/>
        <v>650</v>
      </c>
      <c r="I45" s="119"/>
    </row>
    <row r="46">
      <c r="E46" s="120" t="s">
        <v>120</v>
      </c>
      <c r="F46" s="126">
        <v>10.0</v>
      </c>
      <c r="G46" s="121">
        <v>75.0</v>
      </c>
      <c r="H46" s="122">
        <f t="shared" si="4"/>
        <v>750</v>
      </c>
      <c r="I46" s="119"/>
    </row>
    <row r="47">
      <c r="E47" s="120" t="s">
        <v>121</v>
      </c>
      <c r="F47" s="121">
        <v>1.0</v>
      </c>
      <c r="G47" s="121">
        <v>900.0</v>
      </c>
      <c r="H47" s="122">
        <f t="shared" si="4"/>
        <v>900</v>
      </c>
      <c r="I47" s="119"/>
    </row>
    <row r="48">
      <c r="E48" s="120" t="s">
        <v>122</v>
      </c>
      <c r="F48" s="126">
        <v>10.0</v>
      </c>
      <c r="G48" s="121">
        <v>245.0</v>
      </c>
      <c r="H48" s="122">
        <f t="shared" si="4"/>
        <v>2450</v>
      </c>
      <c r="I48" s="119"/>
    </row>
    <row r="49">
      <c r="E49" s="120" t="s">
        <v>123</v>
      </c>
      <c r="F49" s="121">
        <v>2.0</v>
      </c>
      <c r="G49" s="121">
        <v>1100.0</v>
      </c>
      <c r="H49" s="122">
        <f t="shared" si="4"/>
        <v>2200</v>
      </c>
      <c r="I49" s="119"/>
    </row>
    <row r="50">
      <c r="E50" s="120" t="s">
        <v>124</v>
      </c>
      <c r="F50" s="126">
        <v>10.0</v>
      </c>
      <c r="G50" s="121">
        <v>1600.0</v>
      </c>
      <c r="H50" s="122">
        <f t="shared" si="4"/>
        <v>16000</v>
      </c>
      <c r="I50" s="119"/>
    </row>
    <row r="51">
      <c r="E51" s="123" t="s">
        <v>125</v>
      </c>
      <c r="F51" s="125">
        <v>1.5</v>
      </c>
      <c r="G51" s="124">
        <v>1800.0</v>
      </c>
      <c r="H51" s="74">
        <f>G51*F51</f>
        <v>2700</v>
      </c>
      <c r="I51" s="119"/>
    </row>
    <row r="52">
      <c r="E52" s="120" t="s">
        <v>126</v>
      </c>
      <c r="F52" s="126">
        <v>11.0</v>
      </c>
      <c r="G52" s="121">
        <v>220.0</v>
      </c>
      <c r="H52" s="122">
        <f>F52*G52</f>
        <v>2420</v>
      </c>
      <c r="I52" s="119"/>
    </row>
    <row r="53">
      <c r="E53" s="120" t="s">
        <v>127</v>
      </c>
      <c r="F53" s="131">
        <v>3.0</v>
      </c>
      <c r="G53" s="121">
        <v>150.0</v>
      </c>
      <c r="H53" s="127">
        <f t="shared" ref="H53:H68" si="5">G53*F53</f>
        <v>450</v>
      </c>
      <c r="I53" s="119"/>
    </row>
    <row r="54">
      <c r="E54" s="123" t="s">
        <v>128</v>
      </c>
      <c r="F54" s="132">
        <v>0.5</v>
      </c>
      <c r="G54" s="124">
        <v>800.0</v>
      </c>
      <c r="H54" s="14">
        <f t="shared" si="5"/>
        <v>400</v>
      </c>
      <c r="I54" s="119"/>
    </row>
    <row r="55">
      <c r="E55" s="120" t="s">
        <v>129</v>
      </c>
      <c r="F55" s="126">
        <v>4.0</v>
      </c>
      <c r="G55" s="121">
        <v>800.0</v>
      </c>
      <c r="H55" s="127">
        <f t="shared" si="5"/>
        <v>3200</v>
      </c>
      <c r="I55" s="119"/>
    </row>
    <row r="56">
      <c r="E56" s="120" t="s">
        <v>130</v>
      </c>
      <c r="F56" s="121">
        <v>1.0</v>
      </c>
      <c r="G56" s="121">
        <v>4000.0</v>
      </c>
      <c r="H56" s="127">
        <f t="shared" si="5"/>
        <v>4000</v>
      </c>
      <c r="I56" s="119"/>
    </row>
    <row r="57">
      <c r="E57" s="120" t="s">
        <v>117</v>
      </c>
      <c r="F57" s="126">
        <v>2.0</v>
      </c>
      <c r="G57" s="121">
        <v>250.0</v>
      </c>
      <c r="H57" s="127">
        <f t="shared" si="5"/>
        <v>500</v>
      </c>
      <c r="I57" s="119"/>
    </row>
    <row r="58">
      <c r="E58" s="120" t="s">
        <v>131</v>
      </c>
      <c r="F58" s="126">
        <v>1.0</v>
      </c>
      <c r="G58" s="121">
        <v>1900.0</v>
      </c>
      <c r="H58" s="127">
        <f t="shared" si="5"/>
        <v>1900</v>
      </c>
      <c r="I58" s="119"/>
    </row>
    <row r="59">
      <c r="E59" s="123" t="s">
        <v>132</v>
      </c>
      <c r="F59" s="125">
        <v>1.0</v>
      </c>
      <c r="G59" s="124">
        <v>1500.0</v>
      </c>
      <c r="H59" s="14">
        <f t="shared" si="5"/>
        <v>1500</v>
      </c>
      <c r="I59" s="119"/>
    </row>
    <row r="60">
      <c r="E60" s="123" t="s">
        <v>133</v>
      </c>
      <c r="F60" s="125">
        <v>0.0</v>
      </c>
      <c r="G60" s="124">
        <v>1200.0</v>
      </c>
      <c r="H60" s="14">
        <f t="shared" si="5"/>
        <v>0</v>
      </c>
      <c r="I60" s="119"/>
    </row>
    <row r="61">
      <c r="E61" s="123" t="s">
        <v>134</v>
      </c>
      <c r="F61" s="125">
        <v>1.0</v>
      </c>
      <c r="G61" s="124">
        <v>1100.0</v>
      </c>
      <c r="H61" s="14">
        <f t="shared" si="5"/>
        <v>1100</v>
      </c>
      <c r="I61" s="119"/>
    </row>
    <row r="62">
      <c r="E62" s="123" t="s">
        <v>135</v>
      </c>
      <c r="F62" s="124">
        <v>1.0</v>
      </c>
      <c r="G62" s="124">
        <v>1550.0</v>
      </c>
      <c r="H62" s="14">
        <f t="shared" si="5"/>
        <v>1550</v>
      </c>
      <c r="I62" s="119"/>
    </row>
    <row r="63">
      <c r="E63" s="123" t="s">
        <v>136</v>
      </c>
      <c r="F63" s="125">
        <v>1.0</v>
      </c>
      <c r="G63" s="124">
        <v>1350.0</v>
      </c>
      <c r="H63" s="14">
        <f t="shared" si="5"/>
        <v>1350</v>
      </c>
      <c r="I63" s="119"/>
    </row>
    <row r="64">
      <c r="E64" s="123" t="s">
        <v>137</v>
      </c>
      <c r="F64" s="125">
        <v>0.0</v>
      </c>
      <c r="G64" s="124">
        <v>1150.0</v>
      </c>
      <c r="H64" s="14">
        <f t="shared" si="5"/>
        <v>0</v>
      </c>
      <c r="I64" s="119"/>
    </row>
    <row r="65">
      <c r="E65" s="120" t="s">
        <v>138</v>
      </c>
      <c r="F65" s="121">
        <v>1.0</v>
      </c>
      <c r="G65" s="121">
        <v>900.0</v>
      </c>
      <c r="H65" s="127">
        <f t="shared" si="5"/>
        <v>900</v>
      </c>
      <c r="I65" s="119"/>
    </row>
    <row r="66">
      <c r="E66" s="123" t="s">
        <v>139</v>
      </c>
      <c r="F66" s="124">
        <v>2.0</v>
      </c>
      <c r="G66" s="124">
        <v>620.0</v>
      </c>
      <c r="H66" s="14">
        <f t="shared" si="5"/>
        <v>1240</v>
      </c>
      <c r="I66" s="119"/>
    </row>
    <row r="67">
      <c r="E67" s="120" t="s">
        <v>140</v>
      </c>
      <c r="F67" s="121">
        <v>1.0</v>
      </c>
      <c r="G67" s="121">
        <v>1700.0</v>
      </c>
      <c r="H67" s="127">
        <f t="shared" si="5"/>
        <v>1700</v>
      </c>
      <c r="I67" s="119"/>
    </row>
    <row r="68">
      <c r="E68" s="123" t="s">
        <v>141</v>
      </c>
      <c r="F68" s="124">
        <v>1.0</v>
      </c>
      <c r="G68" s="124">
        <v>1400.0</v>
      </c>
      <c r="H68" s="14">
        <f t="shared" si="5"/>
        <v>1400</v>
      </c>
      <c r="I68" s="119"/>
    </row>
    <row r="69">
      <c r="E69" s="133" t="s">
        <v>142</v>
      </c>
      <c r="F69" s="134">
        <v>1.0</v>
      </c>
      <c r="G69" s="135">
        <v>82.0</v>
      </c>
      <c r="H69" s="136"/>
      <c r="I69" s="119"/>
    </row>
    <row r="70">
      <c r="E70" s="137" t="s">
        <v>143</v>
      </c>
      <c r="F70" s="138">
        <v>2.0</v>
      </c>
      <c r="G70" s="139">
        <v>1550.0</v>
      </c>
      <c r="H70" s="24">
        <f t="shared" ref="H70:H73" si="6">G70*F70</f>
        <v>3100</v>
      </c>
      <c r="I70" s="119"/>
    </row>
    <row r="71">
      <c r="E71" s="120" t="s">
        <v>144</v>
      </c>
      <c r="F71" s="121">
        <v>1.0</v>
      </c>
      <c r="G71" s="121">
        <v>1600.0</v>
      </c>
      <c r="H71" s="127">
        <f t="shared" si="6"/>
        <v>1600</v>
      </c>
      <c r="I71" s="119"/>
    </row>
    <row r="72">
      <c r="E72" s="123" t="s">
        <v>145</v>
      </c>
      <c r="F72" s="125">
        <v>7.0</v>
      </c>
      <c r="G72" s="124">
        <v>650.0</v>
      </c>
      <c r="H72" s="74">
        <f t="shared" si="6"/>
        <v>4550</v>
      </c>
      <c r="I72" s="119"/>
    </row>
    <row r="73">
      <c r="E73" s="123" t="s">
        <v>146</v>
      </c>
      <c r="F73" s="125">
        <v>7.0</v>
      </c>
      <c r="G73" s="124">
        <v>500.0</v>
      </c>
      <c r="H73" s="74">
        <f t="shared" si="6"/>
        <v>3500</v>
      </c>
      <c r="I73" s="119"/>
    </row>
    <row r="74">
      <c r="E74" s="128" t="s">
        <v>147</v>
      </c>
      <c r="F74" s="115">
        <v>-16.0</v>
      </c>
      <c r="G74" s="129">
        <v>270.0</v>
      </c>
      <c r="H74" s="116">
        <f t="shared" ref="H74:H80" si="7">F74*G74</f>
        <v>-4320</v>
      </c>
      <c r="I74" s="119"/>
    </row>
    <row r="75">
      <c r="E75" s="130" t="s">
        <v>148</v>
      </c>
      <c r="F75" s="33">
        <v>11.0</v>
      </c>
      <c r="G75" s="39">
        <v>240.0</v>
      </c>
      <c r="H75" s="30">
        <f t="shared" si="7"/>
        <v>2640</v>
      </c>
      <c r="I75" s="119"/>
    </row>
    <row r="76">
      <c r="E76" s="130" t="s">
        <v>149</v>
      </c>
      <c r="F76" s="33">
        <v>-6.0</v>
      </c>
      <c r="G76" s="39">
        <v>240.0</v>
      </c>
      <c r="H76" s="30">
        <f t="shared" si="7"/>
        <v>-1440</v>
      </c>
      <c r="I76" s="119"/>
    </row>
    <row r="77">
      <c r="E77" s="130" t="s">
        <v>150</v>
      </c>
      <c r="F77" s="33">
        <v>-9.0</v>
      </c>
      <c r="G77" s="39">
        <v>240.0</v>
      </c>
      <c r="H77" s="30">
        <f t="shared" si="7"/>
        <v>-2160</v>
      </c>
      <c r="I77" s="119"/>
    </row>
    <row r="78">
      <c r="E78" s="130" t="s">
        <v>151</v>
      </c>
      <c r="F78" s="39">
        <v>1.5</v>
      </c>
      <c r="G78" s="39">
        <v>1500.0</v>
      </c>
      <c r="H78" s="30">
        <f t="shared" si="7"/>
        <v>2250</v>
      </c>
      <c r="I78" s="119"/>
    </row>
    <row r="79">
      <c r="E79" s="130" t="s">
        <v>152</v>
      </c>
      <c r="F79" s="39">
        <v>1.0</v>
      </c>
      <c r="G79" s="39">
        <v>1400.0</v>
      </c>
      <c r="H79" s="30">
        <f t="shared" si="7"/>
        <v>1400</v>
      </c>
      <c r="I79" s="119"/>
    </row>
    <row r="80">
      <c r="E80" s="130" t="s">
        <v>153</v>
      </c>
      <c r="F80" s="33">
        <v>5.0</v>
      </c>
      <c r="G80" s="39">
        <v>1000.0</v>
      </c>
      <c r="H80" s="30">
        <f t="shared" si="7"/>
        <v>5000</v>
      </c>
      <c r="I80" s="119"/>
    </row>
    <row r="81">
      <c r="E81" s="130" t="s">
        <v>154</v>
      </c>
      <c r="F81" s="33">
        <v>3.0</v>
      </c>
      <c r="G81" s="39">
        <v>280.0</v>
      </c>
      <c r="H81" s="14">
        <f>G81*F81</f>
        <v>840</v>
      </c>
      <c r="I81" s="119"/>
    </row>
    <row r="82">
      <c r="E82" s="128" t="s">
        <v>155</v>
      </c>
      <c r="F82" s="115">
        <v>1.0</v>
      </c>
      <c r="G82" s="129">
        <v>2700.0</v>
      </c>
      <c r="H82" s="116">
        <f t="shared" ref="H82:H86" si="8">F82*G82</f>
        <v>2700</v>
      </c>
      <c r="I82" s="119"/>
    </row>
    <row r="83">
      <c r="E83" s="128" t="s">
        <v>156</v>
      </c>
      <c r="F83" s="115">
        <v>32.0</v>
      </c>
      <c r="G83" s="129">
        <v>85.0</v>
      </c>
      <c r="H83" s="116">
        <f t="shared" si="8"/>
        <v>2720</v>
      </c>
      <c r="I83" s="119"/>
    </row>
    <row r="84">
      <c r="E84" s="128" t="s">
        <v>157</v>
      </c>
      <c r="F84" s="129">
        <v>1.0</v>
      </c>
      <c r="G84" s="129">
        <v>1800.0</v>
      </c>
      <c r="H84" s="116">
        <f t="shared" si="8"/>
        <v>1800</v>
      </c>
      <c r="I84" s="119"/>
    </row>
    <row r="85">
      <c r="E85" s="130"/>
      <c r="F85" s="39"/>
      <c r="G85" s="39"/>
      <c r="H85" s="30">
        <f t="shared" si="8"/>
        <v>0</v>
      </c>
      <c r="I85" s="119"/>
    </row>
    <row r="86">
      <c r="E86" s="130" t="s">
        <v>158</v>
      </c>
      <c r="F86" s="39">
        <v>3.0</v>
      </c>
      <c r="G86" s="39">
        <v>450.0</v>
      </c>
      <c r="H86" s="30">
        <f t="shared" si="8"/>
        <v>1350</v>
      </c>
      <c r="I86" s="119"/>
    </row>
    <row r="87">
      <c r="E87" s="118" t="s">
        <v>159</v>
      </c>
      <c r="F87" s="33">
        <v>2.0</v>
      </c>
      <c r="G87" s="33">
        <v>500.0</v>
      </c>
      <c r="H87" s="14">
        <f>G87*F87</f>
        <v>1000</v>
      </c>
      <c r="I87" s="119"/>
    </row>
    <row r="88">
      <c r="E88" s="140" t="s">
        <v>160</v>
      </c>
      <c r="F88" s="129">
        <v>1.0</v>
      </c>
      <c r="G88" s="129">
        <v>1550.0</v>
      </c>
      <c r="H88" s="116">
        <f t="shared" ref="H88:H89" si="9">F88*G88</f>
        <v>1550</v>
      </c>
      <c r="I88" s="119"/>
    </row>
    <row r="89">
      <c r="E89" s="141" t="s">
        <v>161</v>
      </c>
      <c r="F89" s="39">
        <v>1.0</v>
      </c>
      <c r="G89" s="39">
        <v>450.0</v>
      </c>
      <c r="H89" s="30">
        <f t="shared" si="9"/>
        <v>450</v>
      </c>
      <c r="I89" s="142"/>
    </row>
    <row r="90">
      <c r="E90" s="118" t="s">
        <v>162</v>
      </c>
      <c r="F90" s="33">
        <v>334.0</v>
      </c>
      <c r="G90" s="33">
        <v>60.0</v>
      </c>
      <c r="H90" s="14">
        <f t="shared" ref="H90:H323" si="10">G90*F90</f>
        <v>20040</v>
      </c>
      <c r="I90" s="143">
        <v>45261.0</v>
      </c>
    </row>
    <row r="91">
      <c r="E91" s="118" t="s">
        <v>163</v>
      </c>
      <c r="F91" s="33">
        <v>1.0</v>
      </c>
      <c r="G91" s="33">
        <v>600.0</v>
      </c>
      <c r="H91" s="14">
        <f t="shared" si="10"/>
        <v>600</v>
      </c>
      <c r="I91" s="143">
        <v>45261.0</v>
      </c>
    </row>
    <row r="92">
      <c r="E92" s="118" t="s">
        <v>164</v>
      </c>
      <c r="F92" s="33">
        <v>6.0</v>
      </c>
      <c r="G92" s="33">
        <v>260.0</v>
      </c>
      <c r="H92" s="14">
        <f t="shared" si="10"/>
        <v>1560</v>
      </c>
      <c r="I92" s="143">
        <v>45261.0</v>
      </c>
    </row>
    <row r="93">
      <c r="E93" s="118" t="s">
        <v>165</v>
      </c>
      <c r="F93" s="33">
        <v>1.0</v>
      </c>
      <c r="G93" s="33">
        <v>200.0</v>
      </c>
      <c r="H93" s="14">
        <f t="shared" si="10"/>
        <v>200</v>
      </c>
      <c r="I93" s="143">
        <v>45261.0</v>
      </c>
    </row>
    <row r="94">
      <c r="E94" s="118" t="s">
        <v>166</v>
      </c>
      <c r="F94" s="33">
        <v>1.0</v>
      </c>
      <c r="G94" s="33">
        <v>1000.0</v>
      </c>
      <c r="H94" s="14">
        <f t="shared" si="10"/>
        <v>1000</v>
      </c>
      <c r="I94" s="143">
        <v>45261.0</v>
      </c>
    </row>
    <row r="95">
      <c r="E95" s="118" t="s">
        <v>82</v>
      </c>
      <c r="F95" s="33">
        <v>10.0</v>
      </c>
      <c r="G95" s="33">
        <v>100.0</v>
      </c>
      <c r="H95" s="14">
        <f t="shared" si="10"/>
        <v>1000</v>
      </c>
      <c r="I95" s="143">
        <v>45261.0</v>
      </c>
    </row>
    <row r="96">
      <c r="E96" s="118" t="s">
        <v>167</v>
      </c>
      <c r="F96" s="33">
        <v>50.0</v>
      </c>
      <c r="G96" s="33">
        <v>70.0</v>
      </c>
      <c r="H96" s="14">
        <f t="shared" si="10"/>
        <v>3500</v>
      </c>
      <c r="I96" s="33" t="s">
        <v>168</v>
      </c>
    </row>
    <row r="97">
      <c r="E97" s="118" t="s">
        <v>169</v>
      </c>
      <c r="F97" s="33">
        <v>0.5</v>
      </c>
      <c r="G97" s="33">
        <v>3650.0</v>
      </c>
      <c r="H97" s="14">
        <f t="shared" si="10"/>
        <v>1825</v>
      </c>
      <c r="I97" s="143">
        <v>45263.0</v>
      </c>
    </row>
    <row r="98">
      <c r="E98" s="118" t="s">
        <v>102</v>
      </c>
      <c r="F98" s="33">
        <v>1.0</v>
      </c>
      <c r="G98" s="33">
        <v>1400.0</v>
      </c>
      <c r="H98" s="14">
        <f t="shared" si="10"/>
        <v>1400</v>
      </c>
      <c r="I98" s="143">
        <v>45263.0</v>
      </c>
    </row>
    <row r="99">
      <c r="E99" s="118" t="s">
        <v>118</v>
      </c>
      <c r="F99" s="33">
        <v>1.0</v>
      </c>
      <c r="G99" s="33">
        <v>1250.0</v>
      </c>
      <c r="H99" s="14">
        <f t="shared" si="10"/>
        <v>1250</v>
      </c>
      <c r="I99" s="143">
        <v>45263.0</v>
      </c>
    </row>
    <row r="100">
      <c r="E100" s="118" t="s">
        <v>170</v>
      </c>
      <c r="F100" s="33">
        <v>2.0</v>
      </c>
      <c r="G100" s="33">
        <v>530.0</v>
      </c>
      <c r="H100" s="14">
        <f t="shared" si="10"/>
        <v>1060</v>
      </c>
      <c r="I100" s="143">
        <v>45263.0</v>
      </c>
    </row>
    <row r="101">
      <c r="E101" s="118" t="s">
        <v>171</v>
      </c>
      <c r="F101" s="33">
        <v>2.0</v>
      </c>
      <c r="G101" s="33">
        <v>250.0</v>
      </c>
      <c r="H101" s="14">
        <f t="shared" si="10"/>
        <v>500</v>
      </c>
      <c r="I101" s="143">
        <v>45263.0</v>
      </c>
    </row>
    <row r="102">
      <c r="E102" s="118" t="s">
        <v>172</v>
      </c>
      <c r="F102" s="33">
        <v>12.0</v>
      </c>
      <c r="G102" s="39"/>
      <c r="H102" s="14">
        <f t="shared" si="10"/>
        <v>0</v>
      </c>
      <c r="I102" s="143">
        <v>45263.0</v>
      </c>
    </row>
    <row r="103">
      <c r="E103" s="118" t="s">
        <v>173</v>
      </c>
      <c r="F103" s="33">
        <v>10.0</v>
      </c>
      <c r="G103" s="33">
        <v>650.0</v>
      </c>
      <c r="H103" s="14">
        <f t="shared" si="10"/>
        <v>6500</v>
      </c>
      <c r="I103" s="143">
        <v>45263.0</v>
      </c>
    </row>
    <row r="104">
      <c r="E104" s="118" t="s">
        <v>174</v>
      </c>
      <c r="F104" s="33">
        <v>7.0</v>
      </c>
      <c r="G104" s="33">
        <v>250.0</v>
      </c>
      <c r="H104" s="14">
        <f t="shared" si="10"/>
        <v>1750</v>
      </c>
      <c r="I104" s="143">
        <v>45263.0</v>
      </c>
    </row>
    <row r="105">
      <c r="E105" s="118" t="s">
        <v>84</v>
      </c>
      <c r="F105" s="33">
        <v>2.0</v>
      </c>
      <c r="G105" s="33">
        <v>1000.0</v>
      </c>
      <c r="H105" s="14">
        <f t="shared" si="10"/>
        <v>2000</v>
      </c>
      <c r="I105" s="143">
        <v>45263.0</v>
      </c>
    </row>
    <row r="106">
      <c r="E106" s="118" t="s">
        <v>175</v>
      </c>
      <c r="F106" s="33">
        <v>20.0</v>
      </c>
      <c r="G106" s="33">
        <v>120.0</v>
      </c>
      <c r="H106" s="14">
        <f t="shared" si="10"/>
        <v>2400</v>
      </c>
      <c r="I106" s="143">
        <v>45263.0</v>
      </c>
    </row>
    <row r="107">
      <c r="E107" s="118" t="s">
        <v>82</v>
      </c>
      <c r="F107" s="33">
        <v>10.0</v>
      </c>
      <c r="G107" s="33">
        <v>100.0</v>
      </c>
      <c r="H107" s="14">
        <f t="shared" si="10"/>
        <v>1000</v>
      </c>
      <c r="I107" s="143">
        <v>45263.0</v>
      </c>
    </row>
    <row r="108">
      <c r="E108" s="118" t="s">
        <v>167</v>
      </c>
      <c r="F108" s="33">
        <v>30.0</v>
      </c>
      <c r="G108" s="33">
        <v>65.0</v>
      </c>
      <c r="H108" s="14">
        <f t="shared" si="10"/>
        <v>1950</v>
      </c>
      <c r="I108" s="143">
        <v>45264.0</v>
      </c>
    </row>
    <row r="109">
      <c r="E109" s="118" t="s">
        <v>82</v>
      </c>
      <c r="F109" s="33">
        <v>5.0</v>
      </c>
      <c r="G109" s="33">
        <v>100.0</v>
      </c>
      <c r="H109" s="14">
        <f t="shared" si="10"/>
        <v>500</v>
      </c>
      <c r="I109" s="143">
        <v>45264.0</v>
      </c>
    </row>
    <row r="110">
      <c r="E110" s="118" t="s">
        <v>84</v>
      </c>
      <c r="F110" s="33">
        <v>3.0</v>
      </c>
      <c r="G110" s="33">
        <v>1000.0</v>
      </c>
      <c r="H110" s="14">
        <f t="shared" si="10"/>
        <v>3000</v>
      </c>
      <c r="I110" s="143">
        <v>45264.0</v>
      </c>
    </row>
    <row r="111">
      <c r="E111" s="118" t="s">
        <v>176</v>
      </c>
      <c r="F111" s="33">
        <v>10.0</v>
      </c>
      <c r="G111" s="33">
        <v>600.0</v>
      </c>
      <c r="H111" s="14">
        <f t="shared" si="10"/>
        <v>6000</v>
      </c>
      <c r="I111" s="143">
        <v>45264.0</v>
      </c>
    </row>
    <row r="112">
      <c r="E112" s="118" t="s">
        <v>177</v>
      </c>
      <c r="F112" s="33">
        <v>10.0</v>
      </c>
      <c r="G112" s="33">
        <v>300.0</v>
      </c>
      <c r="H112" s="14">
        <f t="shared" si="10"/>
        <v>3000</v>
      </c>
      <c r="I112" s="143">
        <v>45264.0</v>
      </c>
    </row>
    <row r="113">
      <c r="E113" s="118" t="s">
        <v>178</v>
      </c>
      <c r="F113" s="33">
        <v>32.0</v>
      </c>
      <c r="G113" s="33">
        <v>190.0</v>
      </c>
      <c r="H113" s="14">
        <f t="shared" si="10"/>
        <v>6080</v>
      </c>
      <c r="I113" s="143">
        <v>45265.0</v>
      </c>
    </row>
    <row r="114">
      <c r="E114" s="118" t="s">
        <v>110</v>
      </c>
      <c r="F114" s="33">
        <v>8.0</v>
      </c>
      <c r="G114" s="33">
        <v>810.0</v>
      </c>
      <c r="H114" s="14">
        <f t="shared" si="10"/>
        <v>6480</v>
      </c>
      <c r="I114" s="143">
        <v>45265.0</v>
      </c>
    </row>
    <row r="115">
      <c r="E115" s="118" t="s">
        <v>92</v>
      </c>
      <c r="F115" s="33">
        <v>2.0</v>
      </c>
      <c r="G115" s="33">
        <v>300.0</v>
      </c>
      <c r="H115" s="14">
        <f t="shared" si="10"/>
        <v>600</v>
      </c>
      <c r="I115" s="143">
        <v>45265.0</v>
      </c>
    </row>
    <row r="116">
      <c r="E116" s="118" t="s">
        <v>179</v>
      </c>
      <c r="F116" s="33">
        <v>1.0</v>
      </c>
      <c r="G116" s="33">
        <v>1000.0</v>
      </c>
      <c r="H116" s="14">
        <f t="shared" si="10"/>
        <v>1000</v>
      </c>
      <c r="I116" s="143">
        <v>45266.0</v>
      </c>
    </row>
    <row r="117">
      <c r="E117" s="118" t="s">
        <v>180</v>
      </c>
      <c r="F117" s="33">
        <v>17.0</v>
      </c>
      <c r="G117" s="33">
        <v>650.0</v>
      </c>
      <c r="H117" s="14">
        <f t="shared" si="10"/>
        <v>11050</v>
      </c>
      <c r="I117" s="143">
        <v>45265.0</v>
      </c>
    </row>
    <row r="118">
      <c r="E118" s="118" t="s">
        <v>181</v>
      </c>
      <c r="F118" s="33">
        <v>2.0</v>
      </c>
      <c r="G118" s="33">
        <v>1500.0</v>
      </c>
      <c r="H118" s="14">
        <f t="shared" si="10"/>
        <v>3000</v>
      </c>
      <c r="I118" s="143">
        <v>45266.0</v>
      </c>
    </row>
    <row r="119">
      <c r="E119" s="118" t="s">
        <v>82</v>
      </c>
      <c r="F119" s="33">
        <v>15.0</v>
      </c>
      <c r="G119" s="33">
        <v>100.0</v>
      </c>
      <c r="H119" s="14">
        <f t="shared" si="10"/>
        <v>1500</v>
      </c>
      <c r="I119" s="143">
        <v>45267.0</v>
      </c>
    </row>
    <row r="120">
      <c r="E120" s="118" t="s">
        <v>182</v>
      </c>
      <c r="F120" s="33">
        <v>2.0</v>
      </c>
      <c r="G120" s="33">
        <v>750.0</v>
      </c>
      <c r="H120" s="14">
        <f t="shared" si="10"/>
        <v>1500</v>
      </c>
      <c r="I120" s="143">
        <v>45267.0</v>
      </c>
    </row>
    <row r="121">
      <c r="E121" s="118" t="s">
        <v>183</v>
      </c>
      <c r="F121" s="33">
        <v>2.0</v>
      </c>
      <c r="G121" s="33">
        <v>50.0</v>
      </c>
      <c r="H121" s="14">
        <f t="shared" si="10"/>
        <v>100</v>
      </c>
      <c r="I121" s="143">
        <v>45267.0</v>
      </c>
    </row>
    <row r="122">
      <c r="E122" s="118" t="s">
        <v>89</v>
      </c>
      <c r="F122" s="33">
        <v>4.0</v>
      </c>
      <c r="G122" s="33">
        <v>50.0</v>
      </c>
      <c r="H122" s="14">
        <f t="shared" si="10"/>
        <v>200</v>
      </c>
      <c r="I122" s="143">
        <v>45267.0</v>
      </c>
    </row>
    <row r="123">
      <c r="E123" s="118" t="s">
        <v>184</v>
      </c>
      <c r="F123" s="33">
        <v>4.0</v>
      </c>
      <c r="G123" s="33">
        <v>200.0</v>
      </c>
      <c r="H123" s="14">
        <f t="shared" si="10"/>
        <v>800</v>
      </c>
      <c r="I123" s="143">
        <v>45268.0</v>
      </c>
    </row>
    <row r="124">
      <c r="E124" s="118" t="s">
        <v>84</v>
      </c>
      <c r="F124" s="33">
        <v>2.0</v>
      </c>
      <c r="G124" s="33">
        <v>1000.0</v>
      </c>
      <c r="H124" s="14">
        <f t="shared" si="10"/>
        <v>2000</v>
      </c>
      <c r="I124" s="143">
        <v>45268.0</v>
      </c>
    </row>
    <row r="125">
      <c r="E125" s="118" t="s">
        <v>82</v>
      </c>
      <c r="F125" s="33">
        <v>15.0</v>
      </c>
      <c r="G125" s="33">
        <v>100.0</v>
      </c>
      <c r="H125" s="14">
        <f t="shared" si="10"/>
        <v>1500</v>
      </c>
      <c r="I125" s="143">
        <v>45268.0</v>
      </c>
    </row>
    <row r="126">
      <c r="E126" s="118" t="s">
        <v>175</v>
      </c>
      <c r="F126" s="33">
        <v>3.0</v>
      </c>
      <c r="G126" s="33">
        <v>110.0</v>
      </c>
      <c r="H126" s="14">
        <f t="shared" si="10"/>
        <v>330</v>
      </c>
      <c r="I126" s="143">
        <v>45268.0</v>
      </c>
    </row>
    <row r="127">
      <c r="E127" s="118" t="s">
        <v>165</v>
      </c>
      <c r="F127" s="33">
        <v>1.0</v>
      </c>
      <c r="G127" s="33">
        <v>700.0</v>
      </c>
      <c r="H127" s="14">
        <f t="shared" si="10"/>
        <v>700</v>
      </c>
      <c r="I127" s="143">
        <v>45268.0</v>
      </c>
    </row>
    <row r="128">
      <c r="E128" s="118" t="s">
        <v>163</v>
      </c>
      <c r="F128" s="33">
        <v>5.0</v>
      </c>
      <c r="G128" s="33">
        <v>400.0</v>
      </c>
      <c r="H128" s="14">
        <f t="shared" si="10"/>
        <v>2000</v>
      </c>
      <c r="I128" s="143">
        <v>45268.0</v>
      </c>
    </row>
    <row r="129">
      <c r="E129" s="118" t="s">
        <v>185</v>
      </c>
      <c r="F129" s="33">
        <v>5.0</v>
      </c>
      <c r="G129" s="33">
        <v>200.0</v>
      </c>
      <c r="H129" s="14">
        <f t="shared" si="10"/>
        <v>1000</v>
      </c>
      <c r="I129" s="143">
        <v>45268.0</v>
      </c>
    </row>
    <row r="130">
      <c r="E130" s="118" t="s">
        <v>186</v>
      </c>
      <c r="F130" s="33">
        <v>2.0</v>
      </c>
      <c r="G130" s="33">
        <v>1500.0</v>
      </c>
      <c r="H130" s="14">
        <f t="shared" si="10"/>
        <v>3000</v>
      </c>
      <c r="I130" s="144">
        <v>45270.0</v>
      </c>
    </row>
    <row r="131">
      <c r="E131" s="118" t="s">
        <v>187</v>
      </c>
      <c r="F131" s="33">
        <v>1.0</v>
      </c>
      <c r="G131" s="33">
        <v>500.0</v>
      </c>
      <c r="H131" s="14">
        <f t="shared" si="10"/>
        <v>500</v>
      </c>
      <c r="I131" s="144">
        <v>45270.0</v>
      </c>
    </row>
    <row r="132">
      <c r="E132" s="118" t="s">
        <v>167</v>
      </c>
      <c r="F132" s="33">
        <v>40.0</v>
      </c>
      <c r="G132" s="33">
        <v>70.0</v>
      </c>
      <c r="H132" s="14">
        <f t="shared" si="10"/>
        <v>2800</v>
      </c>
      <c r="I132" s="144">
        <v>45270.0</v>
      </c>
    </row>
    <row r="133">
      <c r="E133" s="118" t="s">
        <v>188</v>
      </c>
      <c r="F133" s="33">
        <v>1.0</v>
      </c>
      <c r="G133" s="33">
        <v>100.0</v>
      </c>
      <c r="H133" s="14">
        <f t="shared" si="10"/>
        <v>100</v>
      </c>
      <c r="I133" s="144">
        <v>45270.0</v>
      </c>
    </row>
    <row r="134">
      <c r="E134" s="118" t="s">
        <v>189</v>
      </c>
      <c r="F134" s="33">
        <v>2.0</v>
      </c>
      <c r="G134" s="33">
        <v>1500.0</v>
      </c>
      <c r="H134" s="14">
        <f t="shared" si="10"/>
        <v>3000</v>
      </c>
      <c r="I134" s="144">
        <v>45270.0</v>
      </c>
    </row>
    <row r="135">
      <c r="E135" s="118" t="s">
        <v>190</v>
      </c>
      <c r="F135" s="33">
        <v>1.0</v>
      </c>
      <c r="G135" s="33">
        <v>1200.0</v>
      </c>
      <c r="H135" s="14">
        <f t="shared" si="10"/>
        <v>1200</v>
      </c>
      <c r="I135" s="144">
        <v>45270.0</v>
      </c>
    </row>
    <row r="136">
      <c r="E136" s="118" t="s">
        <v>191</v>
      </c>
      <c r="F136" s="33">
        <v>1.0</v>
      </c>
      <c r="G136" s="33">
        <v>1450.0</v>
      </c>
      <c r="H136" s="14">
        <f t="shared" si="10"/>
        <v>1450</v>
      </c>
      <c r="I136" s="144">
        <v>45270.0</v>
      </c>
    </row>
    <row r="137">
      <c r="E137" s="118" t="s">
        <v>192</v>
      </c>
      <c r="F137" s="33">
        <v>1.0</v>
      </c>
      <c r="G137" s="33">
        <v>560.0</v>
      </c>
      <c r="H137" s="14">
        <f t="shared" si="10"/>
        <v>560</v>
      </c>
      <c r="I137" s="144">
        <v>45270.0</v>
      </c>
    </row>
    <row r="138">
      <c r="E138" s="118" t="s">
        <v>193</v>
      </c>
      <c r="F138" s="33">
        <v>12.0</v>
      </c>
      <c r="G138" s="33">
        <v>120.0</v>
      </c>
      <c r="H138" s="14">
        <f t="shared" si="10"/>
        <v>1440</v>
      </c>
      <c r="I138" s="144">
        <v>45270.0</v>
      </c>
    </row>
    <row r="139">
      <c r="E139" s="118" t="s">
        <v>160</v>
      </c>
      <c r="F139" s="33">
        <v>2.0</v>
      </c>
      <c r="G139" s="33">
        <v>1150.0</v>
      </c>
      <c r="H139" s="14">
        <f t="shared" si="10"/>
        <v>2300</v>
      </c>
      <c r="I139" s="144">
        <v>45270.0</v>
      </c>
    </row>
    <row r="140">
      <c r="E140" s="118" t="s">
        <v>87</v>
      </c>
      <c r="F140" s="33">
        <v>3.0</v>
      </c>
      <c r="G140" s="33">
        <v>600.0</v>
      </c>
      <c r="H140" s="14">
        <f t="shared" si="10"/>
        <v>1800</v>
      </c>
      <c r="I140" s="144">
        <v>45271.0</v>
      </c>
    </row>
    <row r="141">
      <c r="E141" s="118" t="s">
        <v>194</v>
      </c>
      <c r="F141" s="33">
        <v>2.0</v>
      </c>
      <c r="G141" s="33">
        <v>300.0</v>
      </c>
      <c r="H141" s="14">
        <f t="shared" si="10"/>
        <v>600</v>
      </c>
      <c r="I141" s="144">
        <v>45271.0</v>
      </c>
    </row>
    <row r="142">
      <c r="E142" s="118" t="s">
        <v>195</v>
      </c>
      <c r="F142" s="33">
        <v>2.0</v>
      </c>
      <c r="G142" s="33">
        <v>500.0</v>
      </c>
      <c r="H142" s="14">
        <f t="shared" si="10"/>
        <v>1000</v>
      </c>
      <c r="I142" s="144">
        <v>45271.0</v>
      </c>
    </row>
    <row r="143">
      <c r="E143" s="118" t="s">
        <v>88</v>
      </c>
      <c r="F143" s="33">
        <v>4.0</v>
      </c>
      <c r="G143" s="33">
        <v>100.0</v>
      </c>
      <c r="H143" s="14">
        <f t="shared" si="10"/>
        <v>400</v>
      </c>
      <c r="I143" s="144">
        <v>45271.0</v>
      </c>
    </row>
    <row r="144">
      <c r="E144" s="118" t="s">
        <v>196</v>
      </c>
      <c r="F144" s="33">
        <v>6.0</v>
      </c>
      <c r="G144" s="33">
        <v>100.0</v>
      </c>
      <c r="H144" s="14">
        <f t="shared" si="10"/>
        <v>600</v>
      </c>
      <c r="I144" s="144">
        <v>45271.0</v>
      </c>
    </row>
    <row r="145">
      <c r="E145" s="118" t="s">
        <v>197</v>
      </c>
      <c r="F145" s="33">
        <v>2.0</v>
      </c>
      <c r="G145" s="33">
        <v>200.0</v>
      </c>
      <c r="H145" s="14">
        <f t="shared" si="10"/>
        <v>400</v>
      </c>
      <c r="I145" s="144">
        <v>45271.0</v>
      </c>
    </row>
    <row r="146">
      <c r="E146" s="118" t="s">
        <v>198</v>
      </c>
      <c r="F146" s="33">
        <v>1.0</v>
      </c>
      <c r="G146" s="33">
        <v>1000.0</v>
      </c>
      <c r="H146" s="14">
        <f t="shared" si="10"/>
        <v>1000</v>
      </c>
      <c r="I146" s="144">
        <v>45272.0</v>
      </c>
    </row>
    <row r="147">
      <c r="E147" s="118" t="s">
        <v>84</v>
      </c>
      <c r="F147" s="33">
        <v>3.0</v>
      </c>
      <c r="G147" s="33">
        <v>1000.0</v>
      </c>
      <c r="H147" s="14">
        <f t="shared" si="10"/>
        <v>3000</v>
      </c>
      <c r="I147" s="144">
        <v>45272.0</v>
      </c>
    </row>
    <row r="148">
      <c r="E148" s="118" t="s">
        <v>199</v>
      </c>
      <c r="F148" s="33">
        <v>1.0</v>
      </c>
      <c r="G148" s="33">
        <v>1100.0</v>
      </c>
      <c r="H148" s="14">
        <f t="shared" si="10"/>
        <v>1100</v>
      </c>
      <c r="I148" s="144">
        <v>45272.0</v>
      </c>
    </row>
    <row r="149">
      <c r="E149" s="118" t="s">
        <v>165</v>
      </c>
      <c r="F149" s="33">
        <v>1.0</v>
      </c>
      <c r="G149" s="33">
        <v>400.0</v>
      </c>
      <c r="H149" s="14">
        <f t="shared" si="10"/>
        <v>400</v>
      </c>
      <c r="I149" s="144">
        <v>45272.0</v>
      </c>
    </row>
    <row r="150">
      <c r="E150" s="118" t="s">
        <v>82</v>
      </c>
      <c r="F150" s="33">
        <v>12.0</v>
      </c>
      <c r="G150" s="33">
        <v>100.0</v>
      </c>
      <c r="H150" s="14">
        <f t="shared" si="10"/>
        <v>1200</v>
      </c>
      <c r="I150" s="144">
        <v>45272.0</v>
      </c>
    </row>
    <row r="151">
      <c r="E151" s="118" t="s">
        <v>175</v>
      </c>
      <c r="F151" s="33">
        <v>6.0</v>
      </c>
      <c r="G151" s="33">
        <v>100.0</v>
      </c>
      <c r="H151" s="14">
        <f t="shared" si="10"/>
        <v>600</v>
      </c>
      <c r="I151" s="144">
        <v>45272.0</v>
      </c>
    </row>
    <row r="152">
      <c r="E152" s="118" t="s">
        <v>167</v>
      </c>
      <c r="F152" s="33">
        <v>50.0</v>
      </c>
      <c r="G152" s="33">
        <v>70.0</v>
      </c>
      <c r="H152" s="14">
        <f t="shared" si="10"/>
        <v>3500</v>
      </c>
      <c r="I152" s="144">
        <v>45272.0</v>
      </c>
    </row>
    <row r="153">
      <c r="E153" s="118" t="s">
        <v>88</v>
      </c>
      <c r="F153" s="33">
        <v>10.0</v>
      </c>
      <c r="G153" s="33">
        <v>30.0</v>
      </c>
      <c r="H153" s="14">
        <f t="shared" si="10"/>
        <v>300</v>
      </c>
      <c r="I153" s="144">
        <v>45272.0</v>
      </c>
    </row>
    <row r="154">
      <c r="E154" s="118" t="s">
        <v>183</v>
      </c>
      <c r="F154" s="33">
        <v>4.0</v>
      </c>
      <c r="G154" s="33">
        <v>50.0</v>
      </c>
      <c r="H154" s="14">
        <f t="shared" si="10"/>
        <v>200</v>
      </c>
      <c r="I154" s="144">
        <v>45272.0</v>
      </c>
    </row>
    <row r="155">
      <c r="E155" s="118" t="s">
        <v>200</v>
      </c>
      <c r="F155" s="33">
        <v>-1.0</v>
      </c>
      <c r="G155" s="33">
        <v>600.0</v>
      </c>
      <c r="H155" s="14">
        <f t="shared" si="10"/>
        <v>-600</v>
      </c>
      <c r="I155" s="144">
        <v>45272.0</v>
      </c>
    </row>
    <row r="156">
      <c r="E156" s="118" t="s">
        <v>201</v>
      </c>
      <c r="F156" s="33">
        <v>1.0</v>
      </c>
      <c r="G156" s="33">
        <v>2500.0</v>
      </c>
      <c r="H156" s="14">
        <f t="shared" si="10"/>
        <v>2500</v>
      </c>
      <c r="I156" s="144">
        <v>45272.0</v>
      </c>
    </row>
    <row r="157">
      <c r="E157" s="118" t="s">
        <v>167</v>
      </c>
      <c r="F157" s="33">
        <v>15.0</v>
      </c>
      <c r="G157" s="33">
        <v>60.0</v>
      </c>
      <c r="H157" s="14">
        <f t="shared" si="10"/>
        <v>900</v>
      </c>
      <c r="I157" s="33" t="s">
        <v>202</v>
      </c>
    </row>
    <row r="158">
      <c r="E158" s="118" t="s">
        <v>82</v>
      </c>
      <c r="F158" s="33">
        <v>15.0</v>
      </c>
      <c r="G158" s="33">
        <v>100.0</v>
      </c>
      <c r="H158" s="14">
        <f t="shared" si="10"/>
        <v>1500</v>
      </c>
      <c r="I158" s="33" t="s">
        <v>202</v>
      </c>
    </row>
    <row r="159">
      <c r="E159" s="118" t="s">
        <v>89</v>
      </c>
      <c r="F159" s="33">
        <v>3.0</v>
      </c>
      <c r="G159" s="33">
        <v>70.0</v>
      </c>
      <c r="H159" s="14">
        <f t="shared" si="10"/>
        <v>210</v>
      </c>
      <c r="I159" s="33" t="s">
        <v>202</v>
      </c>
    </row>
    <row r="160">
      <c r="E160" s="118" t="s">
        <v>188</v>
      </c>
      <c r="F160" s="33">
        <v>1.0</v>
      </c>
      <c r="G160" s="33">
        <v>100.0</v>
      </c>
      <c r="H160" s="14">
        <f t="shared" si="10"/>
        <v>100</v>
      </c>
      <c r="I160" s="33" t="s">
        <v>202</v>
      </c>
    </row>
    <row r="161">
      <c r="E161" s="118" t="s">
        <v>175</v>
      </c>
      <c r="F161" s="33">
        <v>3.0</v>
      </c>
      <c r="G161" s="33">
        <v>150.0</v>
      </c>
      <c r="H161" s="14">
        <f t="shared" si="10"/>
        <v>450</v>
      </c>
      <c r="I161" s="33" t="s">
        <v>202</v>
      </c>
    </row>
    <row r="162">
      <c r="E162" s="118" t="s">
        <v>117</v>
      </c>
      <c r="F162" s="33">
        <v>22.0</v>
      </c>
      <c r="G162" s="33">
        <v>200.0</v>
      </c>
      <c r="H162" s="14">
        <f t="shared" si="10"/>
        <v>4400</v>
      </c>
      <c r="I162" s="33" t="s">
        <v>202</v>
      </c>
    </row>
    <row r="163">
      <c r="E163" s="118" t="s">
        <v>101</v>
      </c>
      <c r="F163" s="33">
        <v>2.0</v>
      </c>
      <c r="G163" s="33">
        <v>300.0</v>
      </c>
      <c r="H163" s="14">
        <f t="shared" si="10"/>
        <v>600</v>
      </c>
      <c r="I163" s="144">
        <v>45274.0</v>
      </c>
    </row>
    <row r="164">
      <c r="E164" s="118" t="s">
        <v>203</v>
      </c>
      <c r="F164" s="33">
        <v>2.0</v>
      </c>
      <c r="G164" s="33">
        <v>300.0</v>
      </c>
      <c r="H164" s="14">
        <f t="shared" si="10"/>
        <v>600</v>
      </c>
      <c r="I164" s="144">
        <v>45274.0</v>
      </c>
    </row>
    <row r="165">
      <c r="E165" s="118" t="s">
        <v>204</v>
      </c>
      <c r="F165" s="33">
        <v>16.0</v>
      </c>
      <c r="G165" s="33">
        <v>255.0</v>
      </c>
      <c r="H165" s="14">
        <f t="shared" si="10"/>
        <v>4080</v>
      </c>
      <c r="I165" s="33" t="s">
        <v>202</v>
      </c>
    </row>
    <row r="166">
      <c r="E166" s="118" t="s">
        <v>205</v>
      </c>
      <c r="F166" s="33">
        <v>16.0</v>
      </c>
      <c r="G166" s="33">
        <v>235.0</v>
      </c>
      <c r="H166" s="14">
        <f t="shared" si="10"/>
        <v>3760</v>
      </c>
      <c r="I166" s="33" t="s">
        <v>202</v>
      </c>
    </row>
    <row r="167">
      <c r="E167" s="118" t="s">
        <v>206</v>
      </c>
      <c r="F167" s="33">
        <v>16.0</v>
      </c>
      <c r="G167" s="33">
        <v>235.0</v>
      </c>
      <c r="H167" s="14">
        <f t="shared" si="10"/>
        <v>3760</v>
      </c>
      <c r="I167" s="33" t="s">
        <v>202</v>
      </c>
    </row>
    <row r="168">
      <c r="E168" s="118" t="s">
        <v>207</v>
      </c>
      <c r="F168" s="33">
        <v>10.0</v>
      </c>
      <c r="G168" s="33">
        <v>1520.0</v>
      </c>
      <c r="H168" s="14">
        <f t="shared" si="10"/>
        <v>15200</v>
      </c>
      <c r="I168" s="33" t="s">
        <v>202</v>
      </c>
    </row>
    <row r="169">
      <c r="E169" s="118" t="s">
        <v>208</v>
      </c>
      <c r="F169" s="33">
        <v>45.0</v>
      </c>
      <c r="G169" s="33">
        <v>90.0</v>
      </c>
      <c r="H169" s="14">
        <f t="shared" si="10"/>
        <v>4050</v>
      </c>
      <c r="I169" s="33" t="s">
        <v>202</v>
      </c>
    </row>
    <row r="170">
      <c r="E170" s="118" t="s">
        <v>164</v>
      </c>
      <c r="F170" s="33">
        <v>4.0</v>
      </c>
      <c r="G170" s="33">
        <v>1550.0</v>
      </c>
      <c r="H170" s="14">
        <f t="shared" si="10"/>
        <v>6200</v>
      </c>
      <c r="I170" s="33" t="s">
        <v>202</v>
      </c>
    </row>
    <row r="171">
      <c r="E171" s="118" t="s">
        <v>108</v>
      </c>
      <c r="F171" s="33">
        <v>5.0</v>
      </c>
      <c r="G171" s="33">
        <v>600.0</v>
      </c>
      <c r="H171" s="14">
        <f t="shared" si="10"/>
        <v>3000</v>
      </c>
      <c r="I171" s="33" t="s">
        <v>202</v>
      </c>
    </row>
    <row r="172">
      <c r="E172" s="118" t="s">
        <v>120</v>
      </c>
      <c r="F172" s="33">
        <v>18.0</v>
      </c>
      <c r="G172" s="33">
        <v>75.0</v>
      </c>
      <c r="H172" s="14">
        <f t="shared" si="10"/>
        <v>1350</v>
      </c>
      <c r="I172" s="33" t="s">
        <v>202</v>
      </c>
    </row>
    <row r="173">
      <c r="E173" s="118" t="s">
        <v>209</v>
      </c>
      <c r="F173" s="33">
        <v>5.0</v>
      </c>
      <c r="G173" s="33">
        <v>180.0</v>
      </c>
      <c r="H173" s="14">
        <f t="shared" si="10"/>
        <v>900</v>
      </c>
      <c r="I173" s="33" t="s">
        <v>202</v>
      </c>
    </row>
    <row r="174">
      <c r="E174" s="118" t="s">
        <v>210</v>
      </c>
      <c r="F174" s="33">
        <v>1.0</v>
      </c>
      <c r="G174" s="33">
        <v>600.0</v>
      </c>
      <c r="H174" s="14">
        <f t="shared" si="10"/>
        <v>600</v>
      </c>
      <c r="I174" s="33" t="s">
        <v>202</v>
      </c>
    </row>
    <row r="175">
      <c r="E175" s="118" t="s">
        <v>211</v>
      </c>
      <c r="F175" s="33">
        <v>1.0</v>
      </c>
      <c r="G175" s="33">
        <v>1000.0</v>
      </c>
      <c r="H175" s="14">
        <f t="shared" si="10"/>
        <v>1000</v>
      </c>
      <c r="I175" s="33" t="s">
        <v>202</v>
      </c>
    </row>
    <row r="176">
      <c r="E176" s="118" t="s">
        <v>125</v>
      </c>
      <c r="F176" s="33">
        <v>2.0</v>
      </c>
      <c r="G176" s="33">
        <v>1800.0</v>
      </c>
      <c r="H176" s="14">
        <f t="shared" si="10"/>
        <v>3600</v>
      </c>
      <c r="I176" s="33" t="s">
        <v>202</v>
      </c>
    </row>
    <row r="177">
      <c r="E177" s="118" t="s">
        <v>212</v>
      </c>
      <c r="F177" s="33">
        <v>2.0</v>
      </c>
      <c r="G177" s="33">
        <v>1850.0</v>
      </c>
      <c r="H177" s="14">
        <f t="shared" si="10"/>
        <v>3700</v>
      </c>
      <c r="I177" s="33" t="s">
        <v>202</v>
      </c>
    </row>
    <row r="178">
      <c r="E178" s="118" t="s">
        <v>213</v>
      </c>
      <c r="F178" s="33">
        <v>7.0</v>
      </c>
      <c r="G178" s="33">
        <v>200.0</v>
      </c>
      <c r="H178" s="14">
        <f t="shared" si="10"/>
        <v>1400</v>
      </c>
      <c r="I178" s="33" t="s">
        <v>202</v>
      </c>
    </row>
    <row r="179">
      <c r="E179" s="118" t="s">
        <v>95</v>
      </c>
      <c r="F179" s="33">
        <v>6.0</v>
      </c>
      <c r="G179" s="33">
        <v>1850.0</v>
      </c>
      <c r="H179" s="14">
        <f t="shared" si="10"/>
        <v>11100</v>
      </c>
      <c r="I179" s="33" t="s">
        <v>202</v>
      </c>
    </row>
    <row r="180">
      <c r="E180" s="118" t="s">
        <v>154</v>
      </c>
      <c r="F180" s="33">
        <v>12.0</v>
      </c>
      <c r="G180" s="33">
        <v>250.0</v>
      </c>
      <c r="H180" s="14">
        <f t="shared" si="10"/>
        <v>3000</v>
      </c>
      <c r="I180" s="33" t="s">
        <v>202</v>
      </c>
    </row>
    <row r="181">
      <c r="E181" s="118" t="s">
        <v>214</v>
      </c>
      <c r="F181" s="33">
        <v>1.0</v>
      </c>
      <c r="G181" s="33">
        <v>1100.0</v>
      </c>
      <c r="H181" s="14">
        <f t="shared" si="10"/>
        <v>1100</v>
      </c>
      <c r="I181" s="33" t="s">
        <v>202</v>
      </c>
    </row>
    <row r="182">
      <c r="E182" s="118" t="s">
        <v>215</v>
      </c>
      <c r="F182" s="33">
        <v>1.0</v>
      </c>
      <c r="G182" s="33">
        <v>400.0</v>
      </c>
      <c r="H182" s="14">
        <f t="shared" si="10"/>
        <v>400</v>
      </c>
      <c r="I182" s="33" t="s">
        <v>202</v>
      </c>
    </row>
    <row r="183">
      <c r="E183" s="118" t="s">
        <v>216</v>
      </c>
      <c r="F183" s="33">
        <v>1.0</v>
      </c>
      <c r="G183" s="33">
        <v>1650.0</v>
      </c>
      <c r="H183" s="14">
        <f t="shared" si="10"/>
        <v>1650</v>
      </c>
      <c r="I183" s="144">
        <v>45275.0</v>
      </c>
    </row>
    <row r="184">
      <c r="E184" s="118" t="s">
        <v>217</v>
      </c>
      <c r="F184" s="33">
        <v>2.0</v>
      </c>
      <c r="G184" s="33">
        <v>1000.0</v>
      </c>
      <c r="H184" s="14">
        <f t="shared" si="10"/>
        <v>2000</v>
      </c>
      <c r="I184" s="144">
        <v>45275.0</v>
      </c>
    </row>
    <row r="185">
      <c r="E185" s="118" t="s">
        <v>184</v>
      </c>
      <c r="F185" s="33">
        <v>2.0</v>
      </c>
      <c r="G185" s="33">
        <v>200.0</v>
      </c>
      <c r="H185" s="14">
        <f t="shared" si="10"/>
        <v>400</v>
      </c>
      <c r="I185" s="144">
        <v>45275.0</v>
      </c>
    </row>
    <row r="186">
      <c r="E186" s="118" t="s">
        <v>165</v>
      </c>
      <c r="F186" s="33">
        <v>5.0</v>
      </c>
      <c r="G186" s="33">
        <v>200.0</v>
      </c>
      <c r="H186" s="14">
        <f t="shared" si="10"/>
        <v>1000</v>
      </c>
      <c r="I186" s="144">
        <v>45275.0</v>
      </c>
    </row>
    <row r="187">
      <c r="E187" s="118" t="s">
        <v>218</v>
      </c>
      <c r="F187" s="33">
        <v>1.0</v>
      </c>
      <c r="G187" s="33">
        <v>200.0</v>
      </c>
      <c r="H187" s="14">
        <f t="shared" si="10"/>
        <v>200</v>
      </c>
      <c r="I187" s="144">
        <v>45275.0</v>
      </c>
    </row>
    <row r="188">
      <c r="E188" s="118" t="s">
        <v>219</v>
      </c>
      <c r="F188" s="33">
        <v>7.0</v>
      </c>
      <c r="G188" s="33">
        <v>500.0</v>
      </c>
      <c r="H188" s="14">
        <f t="shared" si="10"/>
        <v>3500</v>
      </c>
      <c r="I188" s="144">
        <v>45275.0</v>
      </c>
    </row>
    <row r="189">
      <c r="E189" s="145" t="s">
        <v>220</v>
      </c>
      <c r="F189" s="89">
        <v>1.0</v>
      </c>
      <c r="G189" s="89">
        <v>21500.0</v>
      </c>
      <c r="H189" s="146">
        <f t="shared" si="10"/>
        <v>21500</v>
      </c>
      <c r="I189" s="147">
        <v>45276.0</v>
      </c>
    </row>
    <row r="190">
      <c r="E190" s="118" t="s">
        <v>221</v>
      </c>
      <c r="F190" s="33">
        <v>1.0</v>
      </c>
      <c r="G190" s="33">
        <v>2050.0</v>
      </c>
      <c r="H190" s="14">
        <f t="shared" si="10"/>
        <v>2050</v>
      </c>
      <c r="I190" s="144">
        <v>45277.0</v>
      </c>
    </row>
    <row r="191">
      <c r="E191" s="118" t="s">
        <v>222</v>
      </c>
      <c r="F191" s="33">
        <v>3.0</v>
      </c>
      <c r="G191" s="33">
        <v>200.0</v>
      </c>
      <c r="H191" s="14">
        <f t="shared" si="10"/>
        <v>600</v>
      </c>
      <c r="I191" s="144">
        <v>45277.0</v>
      </c>
    </row>
    <row r="192">
      <c r="E192" s="118" t="s">
        <v>217</v>
      </c>
      <c r="F192" s="33">
        <v>1.0</v>
      </c>
      <c r="G192" s="33">
        <v>1000.0</v>
      </c>
      <c r="H192" s="14">
        <f t="shared" si="10"/>
        <v>1000</v>
      </c>
      <c r="I192" s="144">
        <v>45277.0</v>
      </c>
    </row>
    <row r="193">
      <c r="E193" s="118" t="s">
        <v>82</v>
      </c>
      <c r="F193" s="33">
        <v>10.0</v>
      </c>
      <c r="G193" s="33">
        <v>120.0</v>
      </c>
      <c r="H193" s="14">
        <f t="shared" si="10"/>
        <v>1200</v>
      </c>
      <c r="I193" s="144">
        <v>45277.0</v>
      </c>
    </row>
    <row r="194">
      <c r="E194" s="118" t="s">
        <v>167</v>
      </c>
      <c r="F194" s="33">
        <v>20.0</v>
      </c>
      <c r="G194" s="33">
        <v>65.0</v>
      </c>
      <c r="H194" s="14">
        <f t="shared" si="10"/>
        <v>1300</v>
      </c>
      <c r="I194" s="144">
        <v>45277.0</v>
      </c>
    </row>
    <row r="195">
      <c r="E195" s="118" t="s">
        <v>223</v>
      </c>
      <c r="F195" s="33">
        <v>1.0</v>
      </c>
      <c r="G195" s="33">
        <v>600.0</v>
      </c>
      <c r="H195" s="14">
        <f t="shared" si="10"/>
        <v>600</v>
      </c>
      <c r="I195" s="144">
        <v>45277.0</v>
      </c>
    </row>
    <row r="196">
      <c r="E196" s="118" t="s">
        <v>87</v>
      </c>
      <c r="F196" s="33">
        <v>3.0</v>
      </c>
      <c r="G196" s="33">
        <v>600.0</v>
      </c>
      <c r="H196" s="14">
        <f t="shared" si="10"/>
        <v>1800</v>
      </c>
      <c r="I196" s="144">
        <v>45277.0</v>
      </c>
    </row>
    <row r="197">
      <c r="E197" s="118" t="s">
        <v>224</v>
      </c>
      <c r="F197" s="33">
        <v>2.0</v>
      </c>
      <c r="G197" s="33">
        <v>1000.0</v>
      </c>
      <c r="H197" s="14">
        <f t="shared" si="10"/>
        <v>2000</v>
      </c>
      <c r="I197" s="144">
        <v>45277.0</v>
      </c>
    </row>
    <row r="198">
      <c r="E198" s="118" t="s">
        <v>165</v>
      </c>
      <c r="F198" s="33">
        <v>1.0</v>
      </c>
      <c r="G198" s="33">
        <v>400.0</v>
      </c>
      <c r="H198" s="14">
        <f t="shared" si="10"/>
        <v>400</v>
      </c>
      <c r="I198" s="144">
        <v>45277.0</v>
      </c>
    </row>
    <row r="199">
      <c r="E199" s="118" t="s">
        <v>188</v>
      </c>
      <c r="F199" s="33">
        <v>1.0</v>
      </c>
      <c r="G199" s="33">
        <v>200.0</v>
      </c>
      <c r="H199" s="14">
        <f t="shared" si="10"/>
        <v>200</v>
      </c>
      <c r="I199" s="144">
        <v>45277.0</v>
      </c>
    </row>
    <row r="200">
      <c r="E200" s="118" t="s">
        <v>225</v>
      </c>
      <c r="F200" s="33">
        <v>1.0</v>
      </c>
      <c r="G200" s="33">
        <v>1000.0</v>
      </c>
      <c r="H200" s="14">
        <f t="shared" si="10"/>
        <v>1000</v>
      </c>
      <c r="I200" s="144">
        <v>45278.0</v>
      </c>
    </row>
    <row r="201">
      <c r="E201" s="118" t="s">
        <v>226</v>
      </c>
      <c r="F201" s="33">
        <v>1.0</v>
      </c>
      <c r="G201" s="33">
        <v>300.0</v>
      </c>
      <c r="H201" s="14">
        <f t="shared" si="10"/>
        <v>300</v>
      </c>
      <c r="I201" s="144">
        <v>45278.0</v>
      </c>
    </row>
    <row r="202">
      <c r="E202" s="118" t="s">
        <v>227</v>
      </c>
      <c r="F202" s="33">
        <v>1.0</v>
      </c>
      <c r="G202" s="33">
        <v>850.0</v>
      </c>
      <c r="H202" s="14">
        <f t="shared" si="10"/>
        <v>850</v>
      </c>
      <c r="I202" s="144">
        <v>45278.0</v>
      </c>
    </row>
    <row r="203">
      <c r="E203" s="118" t="s">
        <v>175</v>
      </c>
      <c r="F203" s="33">
        <v>4.0</v>
      </c>
      <c r="G203" s="33">
        <v>110.0</v>
      </c>
      <c r="H203" s="14">
        <f t="shared" si="10"/>
        <v>440</v>
      </c>
      <c r="I203" s="144">
        <v>45278.0</v>
      </c>
    </row>
    <row r="204">
      <c r="E204" s="118" t="s">
        <v>216</v>
      </c>
      <c r="F204" s="33">
        <v>1.0</v>
      </c>
      <c r="G204" s="33">
        <v>500.0</v>
      </c>
      <c r="H204" s="14">
        <f t="shared" si="10"/>
        <v>500</v>
      </c>
      <c r="I204" s="144">
        <v>45278.0</v>
      </c>
    </row>
    <row r="205">
      <c r="E205" s="118"/>
      <c r="F205" s="33"/>
      <c r="G205" s="33"/>
      <c r="H205" s="14">
        <f t="shared" si="10"/>
        <v>0</v>
      </c>
      <c r="I205" s="144">
        <v>45278.0</v>
      </c>
    </row>
    <row r="206">
      <c r="E206" s="118" t="s">
        <v>228</v>
      </c>
      <c r="F206" s="33">
        <v>2.0</v>
      </c>
      <c r="G206" s="33">
        <v>200.0</v>
      </c>
      <c r="H206" s="14">
        <f t="shared" si="10"/>
        <v>400</v>
      </c>
      <c r="I206" s="144">
        <v>45278.0</v>
      </c>
    </row>
    <row r="207">
      <c r="E207" s="118" t="s">
        <v>229</v>
      </c>
      <c r="F207" s="33">
        <v>1.0</v>
      </c>
      <c r="G207" s="33">
        <v>300.0</v>
      </c>
      <c r="H207" s="14">
        <f t="shared" si="10"/>
        <v>300</v>
      </c>
      <c r="I207" s="144">
        <v>45278.0</v>
      </c>
    </row>
    <row r="208">
      <c r="E208" s="118" t="s">
        <v>193</v>
      </c>
      <c r="F208" s="33">
        <v>10.0</v>
      </c>
      <c r="G208" s="33">
        <v>150.0</v>
      </c>
      <c r="H208" s="14">
        <f t="shared" si="10"/>
        <v>1500</v>
      </c>
      <c r="I208" s="144">
        <v>45272.0</v>
      </c>
    </row>
    <row r="209">
      <c r="E209" s="118" t="s">
        <v>230</v>
      </c>
      <c r="F209" s="33">
        <v>1.0</v>
      </c>
      <c r="G209" s="33">
        <v>2500.0</v>
      </c>
      <c r="H209" s="14">
        <f t="shared" si="10"/>
        <v>2500</v>
      </c>
      <c r="I209" s="144">
        <v>45272.0</v>
      </c>
    </row>
    <row r="210">
      <c r="E210" s="118" t="s">
        <v>167</v>
      </c>
      <c r="F210" s="33">
        <v>20.0</v>
      </c>
      <c r="G210" s="33">
        <v>65.0</v>
      </c>
      <c r="H210" s="14">
        <f t="shared" si="10"/>
        <v>1300</v>
      </c>
      <c r="I210" s="144">
        <v>45279.0</v>
      </c>
    </row>
    <row r="211">
      <c r="E211" s="118" t="s">
        <v>231</v>
      </c>
      <c r="F211" s="33">
        <v>5.0</v>
      </c>
      <c r="G211" s="33">
        <v>140.0</v>
      </c>
      <c r="H211" s="14">
        <f t="shared" si="10"/>
        <v>700</v>
      </c>
      <c r="I211" s="144">
        <v>45279.0</v>
      </c>
    </row>
    <row r="212">
      <c r="E212" s="118" t="s">
        <v>224</v>
      </c>
      <c r="F212" s="33">
        <v>2.0</v>
      </c>
      <c r="G212" s="33">
        <v>1000.0</v>
      </c>
      <c r="H212" s="14">
        <f t="shared" si="10"/>
        <v>2000</v>
      </c>
      <c r="I212" s="144">
        <v>45279.0</v>
      </c>
    </row>
    <row r="213">
      <c r="E213" s="118" t="s">
        <v>82</v>
      </c>
      <c r="F213" s="33">
        <v>5.0</v>
      </c>
      <c r="G213" s="33">
        <v>100.0</v>
      </c>
      <c r="H213" s="14">
        <f t="shared" si="10"/>
        <v>500</v>
      </c>
      <c r="I213" s="144">
        <v>45279.0</v>
      </c>
    </row>
    <row r="214">
      <c r="E214" s="118" t="s">
        <v>216</v>
      </c>
      <c r="F214" s="33">
        <v>1.0</v>
      </c>
      <c r="G214" s="33">
        <v>1900.0</v>
      </c>
      <c r="H214" s="14">
        <f t="shared" si="10"/>
        <v>1900</v>
      </c>
      <c r="I214" s="144">
        <v>45279.0</v>
      </c>
    </row>
    <row r="215">
      <c r="E215" s="118" t="s">
        <v>175</v>
      </c>
      <c r="F215" s="33">
        <v>3.0</v>
      </c>
      <c r="G215" s="33">
        <v>100.0</v>
      </c>
      <c r="H215" s="14">
        <f t="shared" si="10"/>
        <v>300</v>
      </c>
      <c r="I215" s="144">
        <v>45279.0</v>
      </c>
    </row>
    <row r="216">
      <c r="E216" s="118" t="s">
        <v>232</v>
      </c>
      <c r="F216" s="33">
        <v>6.0</v>
      </c>
      <c r="G216" s="33">
        <v>200.0</v>
      </c>
      <c r="H216" s="14">
        <f t="shared" si="10"/>
        <v>1200</v>
      </c>
      <c r="I216" s="144">
        <v>45279.0</v>
      </c>
    </row>
    <row r="217">
      <c r="E217" s="118" t="s">
        <v>233</v>
      </c>
      <c r="F217" s="33">
        <v>2.0</v>
      </c>
      <c r="G217" s="33">
        <v>290.0</v>
      </c>
      <c r="H217" s="14">
        <f t="shared" si="10"/>
        <v>580</v>
      </c>
      <c r="I217" s="144">
        <v>45279.0</v>
      </c>
    </row>
    <row r="218">
      <c r="E218" s="118" t="s">
        <v>234</v>
      </c>
      <c r="F218" s="33">
        <v>1.0</v>
      </c>
      <c r="G218" s="33">
        <v>550.0</v>
      </c>
      <c r="H218" s="14">
        <f t="shared" si="10"/>
        <v>550</v>
      </c>
      <c r="I218" s="144">
        <v>45279.0</v>
      </c>
    </row>
    <row r="219">
      <c r="E219" s="118" t="s">
        <v>235</v>
      </c>
      <c r="F219" s="33">
        <v>5.0</v>
      </c>
      <c r="G219" s="33">
        <v>500.0</v>
      </c>
      <c r="H219" s="14">
        <f t="shared" si="10"/>
        <v>2500</v>
      </c>
      <c r="I219" s="144">
        <v>45280.0</v>
      </c>
    </row>
    <row r="220">
      <c r="E220" s="118" t="s">
        <v>214</v>
      </c>
      <c r="F220" s="33">
        <v>1.0</v>
      </c>
      <c r="G220" s="33">
        <v>1300.0</v>
      </c>
      <c r="H220" s="14">
        <f t="shared" si="10"/>
        <v>1300</v>
      </c>
      <c r="I220" s="144">
        <v>45280.0</v>
      </c>
    </row>
    <row r="221">
      <c r="E221" s="118" t="s">
        <v>236</v>
      </c>
      <c r="F221" s="33">
        <v>10.0</v>
      </c>
      <c r="G221" s="33">
        <v>120.0</v>
      </c>
      <c r="H221" s="14">
        <f t="shared" si="10"/>
        <v>1200</v>
      </c>
      <c r="I221" s="144">
        <v>45280.0</v>
      </c>
    </row>
    <row r="222">
      <c r="E222" s="118" t="s">
        <v>104</v>
      </c>
      <c r="F222" s="33">
        <v>8.0</v>
      </c>
      <c r="G222" s="33">
        <v>250.0</v>
      </c>
      <c r="H222" s="14">
        <f t="shared" si="10"/>
        <v>2000</v>
      </c>
      <c r="I222" s="144">
        <v>45280.0</v>
      </c>
    </row>
    <row r="223">
      <c r="E223" s="118" t="s">
        <v>108</v>
      </c>
      <c r="F223" s="33">
        <v>5.0</v>
      </c>
      <c r="G223" s="33">
        <v>540.0</v>
      </c>
      <c r="H223" s="14">
        <f t="shared" si="10"/>
        <v>2700</v>
      </c>
      <c r="I223" s="144">
        <v>45280.0</v>
      </c>
    </row>
    <row r="224">
      <c r="E224" s="118" t="s">
        <v>82</v>
      </c>
      <c r="F224" s="33">
        <v>11.0</v>
      </c>
      <c r="G224" s="33">
        <v>100.0</v>
      </c>
      <c r="H224" s="14">
        <f t="shared" si="10"/>
        <v>1100</v>
      </c>
      <c r="I224" s="144">
        <v>45280.0</v>
      </c>
    </row>
    <row r="225">
      <c r="E225" s="118" t="s">
        <v>237</v>
      </c>
      <c r="F225" s="33">
        <v>5.0</v>
      </c>
      <c r="G225" s="33">
        <v>150.0</v>
      </c>
      <c r="H225" s="14">
        <f t="shared" si="10"/>
        <v>750</v>
      </c>
      <c r="I225" s="144">
        <v>45280.0</v>
      </c>
    </row>
    <row r="226">
      <c r="E226" s="118" t="s">
        <v>165</v>
      </c>
      <c r="F226" s="33">
        <v>1.0</v>
      </c>
      <c r="G226" s="33">
        <v>1000.0</v>
      </c>
      <c r="H226" s="14">
        <f t="shared" si="10"/>
        <v>1000</v>
      </c>
      <c r="I226" s="144">
        <v>45280.0</v>
      </c>
    </row>
    <row r="227">
      <c r="E227" s="118" t="s">
        <v>238</v>
      </c>
      <c r="F227" s="33">
        <v>2.0</v>
      </c>
      <c r="G227" s="33">
        <v>300.0</v>
      </c>
      <c r="H227" s="14">
        <f t="shared" si="10"/>
        <v>600</v>
      </c>
      <c r="I227" s="144">
        <v>45280.0</v>
      </c>
    </row>
    <row r="228">
      <c r="E228" s="118" t="s">
        <v>239</v>
      </c>
      <c r="F228" s="33">
        <v>10.0</v>
      </c>
      <c r="G228" s="33">
        <v>35.0</v>
      </c>
      <c r="H228" s="14">
        <f t="shared" si="10"/>
        <v>350</v>
      </c>
      <c r="I228" s="144">
        <v>45280.0</v>
      </c>
    </row>
    <row r="229">
      <c r="E229" s="118" t="s">
        <v>240</v>
      </c>
      <c r="F229" s="33">
        <v>1.0</v>
      </c>
      <c r="G229" s="33">
        <v>1000.0</v>
      </c>
      <c r="H229" s="14">
        <f t="shared" si="10"/>
        <v>1000</v>
      </c>
      <c r="I229" s="144">
        <v>45280.0</v>
      </c>
    </row>
    <row r="230">
      <c r="E230" s="118" t="s">
        <v>241</v>
      </c>
      <c r="F230" s="33">
        <v>1.0</v>
      </c>
      <c r="G230" s="33">
        <v>450.0</v>
      </c>
      <c r="H230" s="14">
        <f t="shared" si="10"/>
        <v>450</v>
      </c>
      <c r="I230" s="144">
        <v>45280.0</v>
      </c>
    </row>
    <row r="231">
      <c r="E231" s="118" t="s">
        <v>242</v>
      </c>
      <c r="F231" s="33">
        <v>1.0</v>
      </c>
      <c r="G231" s="33">
        <v>750.0</v>
      </c>
      <c r="H231" s="14">
        <f t="shared" si="10"/>
        <v>750</v>
      </c>
      <c r="I231" s="144">
        <v>45280.0</v>
      </c>
    </row>
    <row r="232">
      <c r="E232" s="118" t="s">
        <v>213</v>
      </c>
      <c r="F232" s="33">
        <v>2.0</v>
      </c>
      <c r="G232" s="33">
        <v>200.0</v>
      </c>
      <c r="H232" s="14">
        <f t="shared" si="10"/>
        <v>400</v>
      </c>
      <c r="I232" s="144">
        <v>45280.0</v>
      </c>
    </row>
    <row r="233">
      <c r="E233" s="118" t="s">
        <v>167</v>
      </c>
      <c r="F233" s="33">
        <v>14.0</v>
      </c>
      <c r="G233" s="33">
        <v>70.0</v>
      </c>
      <c r="H233" s="14">
        <f t="shared" si="10"/>
        <v>980</v>
      </c>
      <c r="I233" s="144">
        <v>45280.0</v>
      </c>
    </row>
    <row r="234">
      <c r="E234" s="118" t="s">
        <v>243</v>
      </c>
      <c r="F234" s="33">
        <v>20.0</v>
      </c>
      <c r="G234" s="33">
        <v>600.0</v>
      </c>
      <c r="H234" s="14">
        <f t="shared" si="10"/>
        <v>12000</v>
      </c>
      <c r="I234" s="144">
        <v>45280.0</v>
      </c>
    </row>
    <row r="235">
      <c r="E235" s="118" t="s">
        <v>244</v>
      </c>
      <c r="F235" s="33">
        <v>20.0</v>
      </c>
      <c r="G235" s="33">
        <v>400.0</v>
      </c>
      <c r="H235" s="14">
        <f t="shared" si="10"/>
        <v>8000</v>
      </c>
      <c r="I235" s="144">
        <v>45280.0</v>
      </c>
    </row>
    <row r="236">
      <c r="E236" s="118"/>
      <c r="F236" s="33"/>
      <c r="G236" s="33"/>
      <c r="H236" s="14">
        <f t="shared" si="10"/>
        <v>0</v>
      </c>
      <c r="I236" s="144">
        <v>45280.0</v>
      </c>
    </row>
    <row r="237">
      <c r="E237" s="118" t="s">
        <v>245</v>
      </c>
      <c r="F237" s="33">
        <v>1.0</v>
      </c>
      <c r="G237" s="33">
        <v>1400.0</v>
      </c>
      <c r="H237" s="14">
        <f t="shared" si="10"/>
        <v>1400</v>
      </c>
      <c r="I237" s="144">
        <v>45280.0</v>
      </c>
    </row>
    <row r="238">
      <c r="E238" s="118" t="s">
        <v>239</v>
      </c>
      <c r="F238" s="33">
        <v>50.0</v>
      </c>
      <c r="G238" s="33">
        <v>38.0</v>
      </c>
      <c r="H238" s="14">
        <f t="shared" si="10"/>
        <v>1900</v>
      </c>
      <c r="I238" s="144">
        <v>45280.0</v>
      </c>
    </row>
    <row r="239">
      <c r="E239" s="118" t="s">
        <v>246</v>
      </c>
      <c r="F239" s="33">
        <v>1.0</v>
      </c>
      <c r="G239" s="33">
        <v>900.0</v>
      </c>
      <c r="H239" s="14">
        <f t="shared" si="10"/>
        <v>900</v>
      </c>
      <c r="I239" s="144">
        <v>45280.0</v>
      </c>
    </row>
    <row r="240">
      <c r="E240" s="118"/>
      <c r="F240" s="33"/>
      <c r="G240" s="33"/>
      <c r="H240" s="14">
        <f t="shared" si="10"/>
        <v>0</v>
      </c>
      <c r="I240" s="144">
        <v>45280.0</v>
      </c>
    </row>
    <row r="241">
      <c r="E241" s="118" t="s">
        <v>247</v>
      </c>
      <c r="F241" s="33">
        <v>1.0</v>
      </c>
      <c r="G241" s="33">
        <v>1000.0</v>
      </c>
      <c r="H241" s="14">
        <f t="shared" si="10"/>
        <v>1000</v>
      </c>
      <c r="I241" s="144">
        <v>45280.0</v>
      </c>
    </row>
    <row r="242">
      <c r="E242" s="118" t="s">
        <v>198</v>
      </c>
      <c r="F242" s="33">
        <v>1.0</v>
      </c>
      <c r="G242" s="33">
        <v>1000.0</v>
      </c>
      <c r="H242" s="14">
        <f t="shared" si="10"/>
        <v>1000</v>
      </c>
      <c r="I242" s="144">
        <v>45280.0</v>
      </c>
    </row>
    <row r="243">
      <c r="E243" s="118" t="s">
        <v>248</v>
      </c>
      <c r="F243" s="33">
        <v>1.0</v>
      </c>
      <c r="G243" s="33">
        <v>500.0</v>
      </c>
      <c r="H243" s="14">
        <f t="shared" si="10"/>
        <v>500</v>
      </c>
      <c r="I243" s="144">
        <v>45280.0</v>
      </c>
    </row>
    <row r="244">
      <c r="E244" s="118" t="s">
        <v>249</v>
      </c>
      <c r="F244" s="33">
        <v>3.0</v>
      </c>
      <c r="G244" s="33">
        <v>200.0</v>
      </c>
      <c r="H244" s="14">
        <f t="shared" si="10"/>
        <v>600</v>
      </c>
      <c r="I244" s="144">
        <v>45280.0</v>
      </c>
    </row>
    <row r="245">
      <c r="E245" s="118" t="s">
        <v>82</v>
      </c>
      <c r="F245" s="33">
        <v>25.0</v>
      </c>
      <c r="G245" s="33">
        <v>100.0</v>
      </c>
      <c r="H245" s="14">
        <f t="shared" si="10"/>
        <v>2500</v>
      </c>
      <c r="I245" s="144">
        <v>45281.0</v>
      </c>
    </row>
    <row r="246">
      <c r="E246" s="118" t="s">
        <v>250</v>
      </c>
      <c r="F246" s="33">
        <v>2.0</v>
      </c>
      <c r="G246" s="33">
        <v>200.0</v>
      </c>
      <c r="H246" s="14">
        <f t="shared" si="10"/>
        <v>400</v>
      </c>
      <c r="I246" s="144">
        <v>45281.0</v>
      </c>
    </row>
    <row r="247">
      <c r="E247" s="118" t="s">
        <v>251</v>
      </c>
      <c r="F247" s="33">
        <v>2.0</v>
      </c>
      <c r="G247" s="33">
        <v>200.0</v>
      </c>
      <c r="H247" s="14">
        <f t="shared" si="10"/>
        <v>400</v>
      </c>
      <c r="I247" s="144">
        <v>45281.0</v>
      </c>
    </row>
    <row r="248">
      <c r="E248" s="118" t="s">
        <v>252</v>
      </c>
      <c r="F248" s="33">
        <v>1.0</v>
      </c>
      <c r="G248" s="33">
        <v>160.0</v>
      </c>
      <c r="H248" s="14">
        <f t="shared" si="10"/>
        <v>160</v>
      </c>
      <c r="I248" s="144">
        <v>45281.0</v>
      </c>
    </row>
    <row r="249">
      <c r="E249" s="118" t="s">
        <v>253</v>
      </c>
      <c r="F249" s="33">
        <v>2.0</v>
      </c>
      <c r="G249" s="33">
        <v>60.0</v>
      </c>
      <c r="H249" s="14">
        <f t="shared" si="10"/>
        <v>120</v>
      </c>
      <c r="I249" s="144">
        <v>45281.0</v>
      </c>
    </row>
    <row r="250">
      <c r="E250" s="118" t="s">
        <v>254</v>
      </c>
      <c r="F250" s="33">
        <v>2.0</v>
      </c>
      <c r="G250" s="33">
        <v>200.0</v>
      </c>
      <c r="H250" s="14">
        <f t="shared" si="10"/>
        <v>400</v>
      </c>
      <c r="I250" s="144">
        <v>45281.0</v>
      </c>
    </row>
    <row r="251">
      <c r="E251" s="118" t="s">
        <v>255</v>
      </c>
      <c r="F251" s="33">
        <v>1.0</v>
      </c>
      <c r="G251" s="33">
        <v>60.0</v>
      </c>
      <c r="H251" s="14">
        <f t="shared" si="10"/>
        <v>60</v>
      </c>
      <c r="I251" s="144">
        <v>45281.0</v>
      </c>
    </row>
    <row r="252">
      <c r="E252" s="118" t="s">
        <v>256</v>
      </c>
      <c r="F252" s="33">
        <v>2.0</v>
      </c>
      <c r="G252" s="33">
        <v>60.0</v>
      </c>
      <c r="H252" s="14">
        <f t="shared" si="10"/>
        <v>120</v>
      </c>
      <c r="I252" s="144">
        <v>45281.0</v>
      </c>
    </row>
    <row r="253">
      <c r="E253" s="118" t="s">
        <v>257</v>
      </c>
      <c r="F253" s="33">
        <v>1.0</v>
      </c>
      <c r="G253" s="33">
        <v>100.0</v>
      </c>
      <c r="H253" s="14">
        <f t="shared" si="10"/>
        <v>100</v>
      </c>
      <c r="I253" s="144">
        <v>45281.0</v>
      </c>
    </row>
    <row r="254">
      <c r="E254" s="118" t="s">
        <v>258</v>
      </c>
      <c r="F254" s="33">
        <v>1.5</v>
      </c>
      <c r="G254" s="33">
        <v>60.0</v>
      </c>
      <c r="H254" s="14">
        <f t="shared" si="10"/>
        <v>90</v>
      </c>
      <c r="I254" s="144">
        <v>45281.0</v>
      </c>
    </row>
    <row r="255">
      <c r="E255" s="118" t="s">
        <v>259</v>
      </c>
      <c r="F255" s="33">
        <v>1.0</v>
      </c>
      <c r="G255" s="33">
        <v>40.0</v>
      </c>
      <c r="H255" s="14">
        <f t="shared" si="10"/>
        <v>40</v>
      </c>
      <c r="I255" s="144">
        <v>45281.0</v>
      </c>
    </row>
    <row r="256">
      <c r="E256" s="118" t="s">
        <v>260</v>
      </c>
      <c r="F256" s="33">
        <v>1.0</v>
      </c>
      <c r="G256" s="33">
        <v>1350.0</v>
      </c>
      <c r="H256" s="14">
        <f t="shared" si="10"/>
        <v>1350</v>
      </c>
      <c r="I256" s="144">
        <v>45281.0</v>
      </c>
    </row>
    <row r="257">
      <c r="E257" s="118" t="s">
        <v>175</v>
      </c>
      <c r="F257" s="33">
        <v>7.0</v>
      </c>
      <c r="G257" s="33">
        <v>110.0</v>
      </c>
      <c r="H257" s="14">
        <f t="shared" si="10"/>
        <v>770</v>
      </c>
      <c r="I257" s="144">
        <v>45281.0</v>
      </c>
    </row>
    <row r="258">
      <c r="E258" s="118" t="s">
        <v>261</v>
      </c>
      <c r="F258" s="33">
        <v>1.0</v>
      </c>
      <c r="G258" s="33">
        <v>250.0</v>
      </c>
      <c r="H258" s="14">
        <f t="shared" si="10"/>
        <v>250</v>
      </c>
      <c r="I258" s="144">
        <v>45281.0</v>
      </c>
    </row>
    <row r="259">
      <c r="E259" s="118" t="s">
        <v>235</v>
      </c>
      <c r="F259" s="33">
        <v>6.0</v>
      </c>
      <c r="G259" s="33">
        <v>700.0</v>
      </c>
      <c r="H259" s="14">
        <f t="shared" si="10"/>
        <v>4200</v>
      </c>
      <c r="I259" s="144">
        <v>45281.0</v>
      </c>
    </row>
    <row r="260">
      <c r="E260" s="118" t="s">
        <v>262</v>
      </c>
      <c r="F260" s="33">
        <v>1.0</v>
      </c>
      <c r="G260" s="33">
        <v>2350.0</v>
      </c>
      <c r="H260" s="14">
        <f t="shared" si="10"/>
        <v>2350</v>
      </c>
      <c r="I260" s="144">
        <v>45281.0</v>
      </c>
    </row>
    <row r="261">
      <c r="E261" s="118" t="s">
        <v>263</v>
      </c>
      <c r="F261" s="33">
        <v>1.0</v>
      </c>
      <c r="G261" s="33">
        <v>400.0</v>
      </c>
      <c r="H261" s="14">
        <f t="shared" si="10"/>
        <v>400</v>
      </c>
      <c r="I261" s="144">
        <v>45281.0</v>
      </c>
    </row>
    <row r="262">
      <c r="E262" s="118" t="s">
        <v>264</v>
      </c>
      <c r="F262" s="33">
        <v>1.0</v>
      </c>
      <c r="G262" s="33">
        <v>500.0</v>
      </c>
      <c r="H262" s="14">
        <f t="shared" si="10"/>
        <v>500</v>
      </c>
      <c r="I262" s="144">
        <v>45281.0</v>
      </c>
    </row>
    <row r="263">
      <c r="E263" s="118" t="s">
        <v>265</v>
      </c>
      <c r="F263" s="33">
        <v>1.0</v>
      </c>
      <c r="G263" s="33">
        <v>450.0</v>
      </c>
      <c r="H263" s="14">
        <f t="shared" si="10"/>
        <v>450</v>
      </c>
      <c r="I263" s="144">
        <v>45281.0</v>
      </c>
    </row>
    <row r="264">
      <c r="E264" s="118" t="s">
        <v>266</v>
      </c>
      <c r="F264" s="33">
        <v>1.0</v>
      </c>
      <c r="G264" s="33">
        <v>500.0</v>
      </c>
      <c r="H264" s="14">
        <f t="shared" si="10"/>
        <v>500</v>
      </c>
      <c r="I264" s="144">
        <v>45281.0</v>
      </c>
    </row>
    <row r="265">
      <c r="E265" s="118" t="s">
        <v>267</v>
      </c>
      <c r="F265" s="33">
        <v>1.0</v>
      </c>
      <c r="G265" s="33">
        <v>200.0</v>
      </c>
      <c r="H265" s="14">
        <f t="shared" si="10"/>
        <v>200</v>
      </c>
      <c r="I265" s="144">
        <v>45281.0</v>
      </c>
    </row>
    <row r="266">
      <c r="E266" s="118" t="s">
        <v>268</v>
      </c>
      <c r="F266" s="33">
        <v>5.0</v>
      </c>
      <c r="G266" s="33">
        <v>180.0</v>
      </c>
      <c r="H266" s="14">
        <f t="shared" si="10"/>
        <v>900</v>
      </c>
      <c r="I266" s="144">
        <v>45281.0</v>
      </c>
    </row>
    <row r="267">
      <c r="E267" s="118" t="s">
        <v>269</v>
      </c>
      <c r="F267" s="33">
        <v>1.0</v>
      </c>
      <c r="G267" s="33">
        <v>1000.0</v>
      </c>
      <c r="H267" s="14">
        <f t="shared" si="10"/>
        <v>1000</v>
      </c>
      <c r="I267" s="144">
        <v>45281.0</v>
      </c>
    </row>
    <row r="268">
      <c r="E268" s="118" t="s">
        <v>270</v>
      </c>
      <c r="F268" s="33">
        <v>10.0</v>
      </c>
      <c r="G268" s="33">
        <v>100.0</v>
      </c>
      <c r="H268" s="14">
        <f t="shared" si="10"/>
        <v>1000</v>
      </c>
      <c r="I268" s="144">
        <v>45281.0</v>
      </c>
    </row>
    <row r="269">
      <c r="E269" s="118" t="s">
        <v>271</v>
      </c>
      <c r="F269" s="33">
        <v>340.0</v>
      </c>
      <c r="G269" s="33">
        <v>60.0</v>
      </c>
      <c r="H269" s="14">
        <f t="shared" si="10"/>
        <v>20400</v>
      </c>
      <c r="I269" s="39"/>
    </row>
    <row r="270">
      <c r="E270" s="118" t="s">
        <v>272</v>
      </c>
      <c r="F270" s="33">
        <v>1.0</v>
      </c>
      <c r="G270" s="33">
        <v>1500.0</v>
      </c>
      <c r="H270" s="14">
        <f t="shared" si="10"/>
        <v>1500</v>
      </c>
      <c r="I270" s="144">
        <v>45282.0</v>
      </c>
    </row>
    <row r="271">
      <c r="E271" s="118" t="s">
        <v>167</v>
      </c>
      <c r="F271" s="33">
        <v>30.0</v>
      </c>
      <c r="G271" s="33">
        <v>70.0</v>
      </c>
      <c r="H271" s="14">
        <f t="shared" si="10"/>
        <v>2100</v>
      </c>
      <c r="I271" s="144">
        <v>45282.0</v>
      </c>
    </row>
    <row r="272">
      <c r="E272" s="118" t="s">
        <v>165</v>
      </c>
      <c r="F272" s="33">
        <v>1.0</v>
      </c>
      <c r="G272" s="33">
        <v>2300.0</v>
      </c>
      <c r="H272" s="14">
        <f t="shared" si="10"/>
        <v>2300</v>
      </c>
      <c r="I272" s="144">
        <v>45282.0</v>
      </c>
    </row>
    <row r="273">
      <c r="E273" s="118" t="s">
        <v>82</v>
      </c>
      <c r="F273" s="33">
        <v>25.0</v>
      </c>
      <c r="G273" s="33">
        <v>100.0</v>
      </c>
      <c r="H273" s="14">
        <f t="shared" si="10"/>
        <v>2500</v>
      </c>
      <c r="I273" s="144">
        <v>45282.0</v>
      </c>
    </row>
    <row r="274">
      <c r="E274" s="118" t="s">
        <v>188</v>
      </c>
      <c r="F274" s="33">
        <v>1.0</v>
      </c>
      <c r="G274" s="33">
        <v>300.0</v>
      </c>
      <c r="H274" s="14">
        <f t="shared" si="10"/>
        <v>300</v>
      </c>
      <c r="I274" s="144">
        <v>44979.0</v>
      </c>
    </row>
    <row r="275">
      <c r="E275" s="118" t="s">
        <v>273</v>
      </c>
      <c r="F275" s="33">
        <v>1.0</v>
      </c>
      <c r="G275" s="33">
        <v>300.0</v>
      </c>
      <c r="H275" s="14">
        <f t="shared" si="10"/>
        <v>300</v>
      </c>
      <c r="I275" s="144">
        <v>45282.0</v>
      </c>
    </row>
    <row r="276">
      <c r="E276" s="118" t="s">
        <v>268</v>
      </c>
      <c r="F276" s="33">
        <v>20.0</v>
      </c>
      <c r="G276" s="33">
        <v>200.0</v>
      </c>
      <c r="H276" s="14">
        <f t="shared" si="10"/>
        <v>4000</v>
      </c>
      <c r="I276" s="144">
        <v>45282.0</v>
      </c>
    </row>
    <row r="277">
      <c r="E277" s="118" t="s">
        <v>240</v>
      </c>
      <c r="F277" s="33">
        <v>2.0</v>
      </c>
      <c r="G277" s="33">
        <v>600.0</v>
      </c>
      <c r="H277" s="14">
        <f t="shared" si="10"/>
        <v>1200</v>
      </c>
      <c r="I277" s="144">
        <v>45282.0</v>
      </c>
    </row>
    <row r="278">
      <c r="E278" s="118" t="s">
        <v>235</v>
      </c>
      <c r="F278" s="33">
        <v>2.0</v>
      </c>
      <c r="G278" s="33">
        <v>1500.0</v>
      </c>
      <c r="H278" s="14">
        <f t="shared" si="10"/>
        <v>3000</v>
      </c>
      <c r="I278" s="144">
        <v>45282.0</v>
      </c>
    </row>
    <row r="279">
      <c r="E279" s="118" t="s">
        <v>216</v>
      </c>
      <c r="F279" s="33">
        <v>1.0</v>
      </c>
      <c r="G279" s="33">
        <v>1350.0</v>
      </c>
      <c r="H279" s="14">
        <f t="shared" si="10"/>
        <v>1350</v>
      </c>
      <c r="I279" s="144">
        <v>45282.0</v>
      </c>
    </row>
    <row r="280">
      <c r="E280" s="118" t="s">
        <v>274</v>
      </c>
      <c r="F280" s="33">
        <v>2.0</v>
      </c>
      <c r="G280" s="33">
        <v>1000.0</v>
      </c>
      <c r="H280" s="14">
        <f t="shared" si="10"/>
        <v>2000</v>
      </c>
      <c r="I280" s="144">
        <v>45282.0</v>
      </c>
    </row>
    <row r="281">
      <c r="E281" s="118" t="s">
        <v>167</v>
      </c>
      <c r="F281" s="33">
        <v>30.0</v>
      </c>
      <c r="G281" s="33">
        <v>70.0</v>
      </c>
      <c r="H281" s="14">
        <f t="shared" si="10"/>
        <v>2100</v>
      </c>
      <c r="I281" s="144">
        <v>45282.0</v>
      </c>
    </row>
    <row r="282">
      <c r="E282" s="118" t="s">
        <v>208</v>
      </c>
      <c r="F282" s="33">
        <v>18.0</v>
      </c>
      <c r="G282" s="33">
        <v>90.0</v>
      </c>
      <c r="H282" s="14">
        <f t="shared" si="10"/>
        <v>1620</v>
      </c>
      <c r="I282" s="144">
        <v>45282.0</v>
      </c>
    </row>
    <row r="283">
      <c r="E283" s="118" t="s">
        <v>82</v>
      </c>
      <c r="F283" s="33">
        <v>12.0</v>
      </c>
      <c r="G283" s="33">
        <v>120.0</v>
      </c>
      <c r="H283" s="14">
        <f t="shared" si="10"/>
        <v>1440</v>
      </c>
      <c r="I283" s="144">
        <v>45284.0</v>
      </c>
    </row>
    <row r="284">
      <c r="E284" s="118" t="s">
        <v>275</v>
      </c>
      <c r="F284" s="33">
        <v>2.0</v>
      </c>
      <c r="G284" s="33">
        <v>500.0</v>
      </c>
      <c r="H284" s="14">
        <f t="shared" si="10"/>
        <v>1000</v>
      </c>
      <c r="I284" s="144">
        <v>45284.0</v>
      </c>
    </row>
    <row r="285">
      <c r="E285" s="118" t="s">
        <v>185</v>
      </c>
      <c r="F285" s="33">
        <v>4.0</v>
      </c>
      <c r="G285" s="33">
        <v>1000.0</v>
      </c>
      <c r="H285" s="14">
        <f t="shared" si="10"/>
        <v>4000</v>
      </c>
      <c r="I285" s="144">
        <v>45285.0</v>
      </c>
    </row>
    <row r="286">
      <c r="E286" s="118" t="s">
        <v>82</v>
      </c>
      <c r="F286" s="33">
        <v>20.0</v>
      </c>
      <c r="G286" s="33">
        <v>100.0</v>
      </c>
      <c r="H286" s="14">
        <f t="shared" si="10"/>
        <v>2000</v>
      </c>
      <c r="I286" s="144">
        <v>45285.0</v>
      </c>
    </row>
    <row r="287">
      <c r="E287" s="118" t="s">
        <v>276</v>
      </c>
      <c r="F287" s="33">
        <v>1.0</v>
      </c>
      <c r="G287" s="33">
        <v>1000.0</v>
      </c>
      <c r="H287" s="14">
        <f t="shared" si="10"/>
        <v>1000</v>
      </c>
      <c r="I287" s="144">
        <v>45285.0</v>
      </c>
    </row>
    <row r="288">
      <c r="E288" s="118" t="s">
        <v>175</v>
      </c>
      <c r="F288" s="33">
        <v>30.0</v>
      </c>
      <c r="G288" s="33">
        <v>110.0</v>
      </c>
      <c r="H288" s="14">
        <f t="shared" si="10"/>
        <v>3300</v>
      </c>
      <c r="I288" s="144">
        <v>45285.0</v>
      </c>
    </row>
    <row r="289">
      <c r="E289" s="118" t="s">
        <v>277</v>
      </c>
      <c r="F289" s="33">
        <v>13.0</v>
      </c>
      <c r="G289" s="33">
        <v>60.0</v>
      </c>
      <c r="H289" s="14">
        <f t="shared" si="10"/>
        <v>780</v>
      </c>
      <c r="I289" s="144">
        <v>45285.0</v>
      </c>
    </row>
    <row r="290">
      <c r="E290" s="118" t="s">
        <v>187</v>
      </c>
      <c r="F290" s="33">
        <v>1.0</v>
      </c>
      <c r="G290" s="33">
        <v>900.0</v>
      </c>
      <c r="H290" s="14">
        <f t="shared" si="10"/>
        <v>900</v>
      </c>
      <c r="I290" s="144">
        <v>45285.0</v>
      </c>
    </row>
    <row r="291">
      <c r="E291" s="118" t="s">
        <v>278</v>
      </c>
      <c r="F291" s="33">
        <v>4.0</v>
      </c>
      <c r="G291" s="33">
        <v>150.0</v>
      </c>
      <c r="H291" s="14">
        <f t="shared" si="10"/>
        <v>600</v>
      </c>
      <c r="I291" s="144">
        <v>45285.0</v>
      </c>
    </row>
    <row r="292">
      <c r="E292" s="118" t="s">
        <v>279</v>
      </c>
      <c r="F292" s="33">
        <v>1.0</v>
      </c>
      <c r="G292" s="33">
        <v>6000.0</v>
      </c>
      <c r="H292" s="14">
        <f t="shared" si="10"/>
        <v>6000</v>
      </c>
      <c r="I292" s="144">
        <v>45285.0</v>
      </c>
    </row>
    <row r="293">
      <c r="E293" s="118" t="s">
        <v>82</v>
      </c>
      <c r="F293" s="33">
        <v>7.0</v>
      </c>
      <c r="G293" s="33">
        <v>100.0</v>
      </c>
      <c r="H293" s="14">
        <f t="shared" si="10"/>
        <v>700</v>
      </c>
      <c r="I293" s="144">
        <v>45286.0</v>
      </c>
    </row>
    <row r="294">
      <c r="E294" s="118" t="s">
        <v>198</v>
      </c>
      <c r="F294" s="33">
        <v>1.0</v>
      </c>
      <c r="G294" s="33">
        <v>1000.0</v>
      </c>
      <c r="H294" s="14">
        <f t="shared" si="10"/>
        <v>1000</v>
      </c>
      <c r="I294" s="144">
        <v>45286.0</v>
      </c>
    </row>
    <row r="295">
      <c r="E295" s="118" t="s">
        <v>181</v>
      </c>
      <c r="F295" s="33">
        <v>1.0</v>
      </c>
      <c r="G295" s="33">
        <v>2000.0</v>
      </c>
      <c r="H295" s="14">
        <f t="shared" si="10"/>
        <v>2000</v>
      </c>
      <c r="I295" s="144">
        <v>45287.0</v>
      </c>
    </row>
    <row r="296">
      <c r="E296" s="118" t="s">
        <v>235</v>
      </c>
      <c r="F296" s="33">
        <v>3.6</v>
      </c>
      <c r="G296" s="33">
        <v>1800.0</v>
      </c>
      <c r="H296" s="14">
        <f t="shared" si="10"/>
        <v>6480</v>
      </c>
      <c r="I296" s="144">
        <v>45290.0</v>
      </c>
    </row>
    <row r="297">
      <c r="E297" s="118" t="s">
        <v>268</v>
      </c>
      <c r="F297" s="33">
        <v>26.0</v>
      </c>
      <c r="G297" s="33">
        <v>225.0</v>
      </c>
      <c r="H297" s="14">
        <f t="shared" si="10"/>
        <v>5850</v>
      </c>
      <c r="I297" s="144">
        <v>45290.0</v>
      </c>
    </row>
    <row r="298">
      <c r="E298" s="118" t="s">
        <v>165</v>
      </c>
      <c r="F298" s="33">
        <v>1.0</v>
      </c>
      <c r="G298" s="33">
        <v>3200.0</v>
      </c>
      <c r="H298" s="14">
        <f t="shared" si="10"/>
        <v>3200</v>
      </c>
      <c r="I298" s="144">
        <v>45290.0</v>
      </c>
    </row>
    <row r="299">
      <c r="E299" s="118" t="s">
        <v>280</v>
      </c>
      <c r="F299" s="33">
        <v>2.0</v>
      </c>
      <c r="G299" s="33">
        <v>150.0</v>
      </c>
      <c r="H299" s="14">
        <f t="shared" si="10"/>
        <v>300</v>
      </c>
      <c r="I299" s="144">
        <v>45290.0</v>
      </c>
    </row>
    <row r="300">
      <c r="E300" s="118" t="s">
        <v>82</v>
      </c>
      <c r="F300" s="33">
        <v>8.0</v>
      </c>
      <c r="G300" s="33">
        <v>125.0</v>
      </c>
      <c r="H300" s="14">
        <f t="shared" si="10"/>
        <v>1000</v>
      </c>
      <c r="I300" s="144">
        <v>45290.0</v>
      </c>
    </row>
    <row r="301">
      <c r="E301" s="118" t="s">
        <v>224</v>
      </c>
      <c r="F301" s="33">
        <v>6.5</v>
      </c>
      <c r="G301" s="33">
        <v>1000.0</v>
      </c>
      <c r="H301" s="14">
        <f t="shared" si="10"/>
        <v>6500</v>
      </c>
      <c r="I301" s="144">
        <v>45290.0</v>
      </c>
    </row>
    <row r="302">
      <c r="E302" s="118" t="s">
        <v>281</v>
      </c>
      <c r="F302" s="33">
        <v>2.0</v>
      </c>
      <c r="G302" s="33">
        <v>650.0</v>
      </c>
      <c r="H302" s="14">
        <f t="shared" si="10"/>
        <v>1300</v>
      </c>
      <c r="I302" s="144">
        <v>45290.0</v>
      </c>
    </row>
    <row r="303">
      <c r="E303" s="118" t="s">
        <v>175</v>
      </c>
      <c r="F303" s="33">
        <v>5.0</v>
      </c>
      <c r="G303" s="33">
        <v>100.0</v>
      </c>
      <c r="H303" s="14">
        <f t="shared" si="10"/>
        <v>500</v>
      </c>
      <c r="I303" s="144">
        <v>45290.0</v>
      </c>
    </row>
    <row r="304">
      <c r="E304" s="118" t="s">
        <v>167</v>
      </c>
      <c r="F304" s="33">
        <v>30.0</v>
      </c>
      <c r="G304" s="33">
        <v>65.0</v>
      </c>
      <c r="H304" s="14">
        <f t="shared" si="10"/>
        <v>1950</v>
      </c>
      <c r="I304" s="144">
        <v>45290.0</v>
      </c>
    </row>
    <row r="305">
      <c r="E305" s="118" t="s">
        <v>82</v>
      </c>
      <c r="F305" s="33">
        <v>20.0</v>
      </c>
      <c r="G305" s="33">
        <v>100.0</v>
      </c>
      <c r="H305" s="14">
        <f t="shared" si="10"/>
        <v>2000</v>
      </c>
      <c r="I305" s="144">
        <v>45290.0</v>
      </c>
    </row>
    <row r="306">
      <c r="E306" s="145" t="s">
        <v>282</v>
      </c>
      <c r="F306" s="89">
        <v>1.0</v>
      </c>
      <c r="G306" s="89">
        <v>13500.0</v>
      </c>
      <c r="H306" s="146">
        <f t="shared" si="10"/>
        <v>13500</v>
      </c>
      <c r="I306" s="147">
        <v>45288.0</v>
      </c>
    </row>
    <row r="307">
      <c r="E307" s="118" t="s">
        <v>167</v>
      </c>
      <c r="F307" s="33">
        <v>50.0</v>
      </c>
      <c r="G307" s="33">
        <v>70.0</v>
      </c>
      <c r="H307" s="14">
        <f t="shared" si="10"/>
        <v>3500</v>
      </c>
      <c r="I307" s="33" t="s">
        <v>283</v>
      </c>
    </row>
    <row r="308">
      <c r="E308" s="118" t="s">
        <v>284</v>
      </c>
      <c r="F308" s="33">
        <v>32.0</v>
      </c>
      <c r="G308" s="33">
        <v>500.0</v>
      </c>
      <c r="H308" s="14">
        <f t="shared" si="10"/>
        <v>16000</v>
      </c>
      <c r="I308" s="144">
        <v>45287.0</v>
      </c>
    </row>
    <row r="309">
      <c r="E309" s="118" t="s">
        <v>243</v>
      </c>
      <c r="F309" s="33">
        <v>3.0</v>
      </c>
      <c r="G309" s="33">
        <v>650.0</v>
      </c>
      <c r="H309" s="14">
        <f t="shared" si="10"/>
        <v>1950</v>
      </c>
      <c r="I309" s="144">
        <v>45287.0</v>
      </c>
    </row>
    <row r="310">
      <c r="E310" s="118" t="s">
        <v>285</v>
      </c>
      <c r="F310" s="33">
        <v>1.0</v>
      </c>
      <c r="G310" s="33">
        <v>3100.0</v>
      </c>
      <c r="H310" s="14">
        <f t="shared" si="10"/>
        <v>3100</v>
      </c>
      <c r="I310" s="144">
        <v>45287.0</v>
      </c>
    </row>
    <row r="311">
      <c r="E311" s="118" t="s">
        <v>286</v>
      </c>
      <c r="F311" s="33">
        <v>2.0</v>
      </c>
      <c r="G311" s="33">
        <v>1850.0</v>
      </c>
      <c r="H311" s="14">
        <f t="shared" si="10"/>
        <v>3700</v>
      </c>
      <c r="I311" s="143">
        <v>45264.0</v>
      </c>
    </row>
    <row r="312">
      <c r="E312" s="118" t="s">
        <v>213</v>
      </c>
      <c r="F312" s="33">
        <v>14.0</v>
      </c>
      <c r="G312" s="33">
        <v>200.0</v>
      </c>
      <c r="H312" s="14">
        <f t="shared" si="10"/>
        <v>2800</v>
      </c>
      <c r="I312" s="143">
        <v>45264.0</v>
      </c>
    </row>
    <row r="313">
      <c r="E313" s="118" t="s">
        <v>120</v>
      </c>
      <c r="F313" s="33">
        <v>12.0</v>
      </c>
      <c r="G313" s="33">
        <v>75.0</v>
      </c>
      <c r="H313" s="14">
        <f t="shared" si="10"/>
        <v>900</v>
      </c>
      <c r="I313" s="143">
        <v>45264.0</v>
      </c>
    </row>
    <row r="314">
      <c r="E314" s="118" t="s">
        <v>95</v>
      </c>
      <c r="F314" s="33">
        <v>6.0</v>
      </c>
      <c r="G314" s="33">
        <v>1850.0</v>
      </c>
      <c r="H314" s="14">
        <f t="shared" si="10"/>
        <v>11100</v>
      </c>
      <c r="I314" s="143">
        <v>45264.0</v>
      </c>
    </row>
    <row r="315">
      <c r="E315" s="118" t="s">
        <v>154</v>
      </c>
      <c r="F315" s="33">
        <v>12.0</v>
      </c>
      <c r="G315" s="33">
        <v>250.0</v>
      </c>
      <c r="H315" s="14">
        <f t="shared" si="10"/>
        <v>3000</v>
      </c>
      <c r="I315" s="143">
        <v>45264.0</v>
      </c>
    </row>
    <row r="316">
      <c r="E316" s="118" t="s">
        <v>287</v>
      </c>
      <c r="F316" s="33">
        <v>1.0</v>
      </c>
      <c r="G316" s="33">
        <v>1100.0</v>
      </c>
      <c r="H316" s="14">
        <f t="shared" si="10"/>
        <v>1100</v>
      </c>
      <c r="I316" s="143">
        <v>45264.0</v>
      </c>
    </row>
    <row r="317">
      <c r="E317" s="118" t="s">
        <v>215</v>
      </c>
      <c r="F317" s="33">
        <v>10.0</v>
      </c>
      <c r="G317" s="33">
        <v>30.0</v>
      </c>
      <c r="H317" s="14">
        <f t="shared" si="10"/>
        <v>300</v>
      </c>
      <c r="I317" s="143">
        <v>45264.0</v>
      </c>
    </row>
    <row r="318">
      <c r="E318" s="118" t="s">
        <v>274</v>
      </c>
      <c r="F318" s="33">
        <v>5.6</v>
      </c>
      <c r="G318" s="33">
        <v>1000.0</v>
      </c>
      <c r="H318" s="14">
        <f t="shared" si="10"/>
        <v>5600</v>
      </c>
      <c r="I318" s="39"/>
    </row>
    <row r="319">
      <c r="E319" s="130"/>
      <c r="F319" s="39"/>
      <c r="G319" s="39"/>
      <c r="H319" s="14">
        <f t="shared" si="10"/>
        <v>0</v>
      </c>
      <c r="I319" s="39"/>
    </row>
    <row r="320">
      <c r="E320" s="130"/>
      <c r="F320" s="39"/>
      <c r="G320" s="39"/>
      <c r="H320" s="14">
        <f t="shared" si="10"/>
        <v>0</v>
      </c>
      <c r="I320" s="39"/>
    </row>
    <row r="321">
      <c r="E321" s="130"/>
      <c r="F321" s="39"/>
      <c r="G321" s="39"/>
      <c r="H321" s="14">
        <f t="shared" si="10"/>
        <v>0</v>
      </c>
      <c r="I321" s="39"/>
    </row>
    <row r="322">
      <c r="E322" s="130"/>
      <c r="F322" s="39"/>
      <c r="G322" s="39"/>
      <c r="H322" s="14">
        <f t="shared" si="10"/>
        <v>0</v>
      </c>
      <c r="I322" s="39"/>
    </row>
    <row r="323">
      <c r="E323" s="130"/>
      <c r="F323" s="39"/>
      <c r="G323" s="39"/>
      <c r="H323" s="14">
        <f t="shared" si="10"/>
        <v>0</v>
      </c>
      <c r="I323" s="39"/>
    </row>
    <row r="324">
      <c r="E324" s="130"/>
      <c r="F324" s="39"/>
      <c r="G324" s="39"/>
      <c r="H324" s="30">
        <f t="shared" ref="H324:H330" si="11">F324*G324</f>
        <v>0</v>
      </c>
      <c r="I324" s="39"/>
    </row>
    <row r="325">
      <c r="E325" s="130"/>
      <c r="F325" s="39"/>
      <c r="G325" s="39"/>
      <c r="H325" s="30">
        <f t="shared" si="11"/>
        <v>0</v>
      </c>
      <c r="I325" s="39"/>
    </row>
    <row r="326">
      <c r="E326" s="130"/>
      <c r="F326" s="39"/>
      <c r="G326" s="39"/>
      <c r="H326" s="30">
        <f t="shared" si="11"/>
        <v>0</v>
      </c>
      <c r="I326" s="39"/>
    </row>
    <row r="327">
      <c r="E327" s="130"/>
      <c r="F327" s="39"/>
      <c r="G327" s="39"/>
      <c r="H327" s="30">
        <f t="shared" si="11"/>
        <v>0</v>
      </c>
      <c r="I327" s="39"/>
    </row>
    <row r="328">
      <c r="E328" s="130"/>
      <c r="F328" s="39"/>
      <c r="G328" s="39"/>
      <c r="H328" s="30">
        <f t="shared" si="11"/>
        <v>0</v>
      </c>
      <c r="I328" s="39"/>
    </row>
    <row r="329">
      <c r="E329" s="118" t="s">
        <v>288</v>
      </c>
      <c r="F329" s="33">
        <v>1.0</v>
      </c>
      <c r="G329" s="33">
        <v>47000.0</v>
      </c>
      <c r="H329" s="30">
        <f t="shared" si="11"/>
        <v>47000</v>
      </c>
      <c r="I329" s="39"/>
    </row>
    <row r="330">
      <c r="E330" s="120" t="s">
        <v>288</v>
      </c>
      <c r="F330" s="121">
        <v>1.0</v>
      </c>
      <c r="G330" s="126">
        <v>3000.0</v>
      </c>
      <c r="H330" s="122">
        <f t="shared" si="11"/>
        <v>3000</v>
      </c>
      <c r="I330" s="39"/>
    </row>
    <row r="331">
      <c r="E331" s="148" t="s">
        <v>289</v>
      </c>
      <c r="F331" s="149"/>
      <c r="G331" s="150"/>
      <c r="H331" s="151">
        <f>SUM(H6:H330)</f>
        <v>727515</v>
      </c>
      <c r="I331" s="152"/>
    </row>
    <row r="332">
      <c r="E332" s="153"/>
      <c r="F332" s="153"/>
      <c r="G332" s="153"/>
      <c r="H332" s="153"/>
      <c r="I332" s="153"/>
    </row>
    <row r="333">
      <c r="E333" s="153"/>
      <c r="F333" s="153"/>
      <c r="G333" s="153"/>
      <c r="H333" s="153"/>
      <c r="I333" s="153"/>
    </row>
    <row r="334">
      <c r="E334" s="153"/>
      <c r="F334" s="153"/>
      <c r="G334" s="153"/>
      <c r="H334" s="153"/>
      <c r="I334" s="153"/>
    </row>
    <row r="335">
      <c r="E335" s="153"/>
      <c r="F335" s="153"/>
      <c r="G335" s="153"/>
      <c r="H335" s="153"/>
      <c r="I335" s="153"/>
    </row>
    <row r="336">
      <c r="E336" s="153"/>
      <c r="F336" s="153"/>
      <c r="G336" s="153"/>
      <c r="H336" s="153"/>
      <c r="I336" s="153"/>
    </row>
    <row r="337">
      <c r="E337" s="153"/>
      <c r="F337" s="153"/>
      <c r="G337" s="153"/>
      <c r="H337" s="153"/>
      <c r="I337" s="153"/>
    </row>
    <row r="338">
      <c r="E338" s="153"/>
      <c r="F338" s="153"/>
      <c r="G338" s="153"/>
      <c r="H338" s="153"/>
      <c r="I338" s="153"/>
    </row>
    <row r="339">
      <c r="E339" s="153"/>
      <c r="F339" s="153"/>
      <c r="G339" s="153"/>
      <c r="H339" s="153"/>
      <c r="I339" s="153"/>
    </row>
    <row r="340">
      <c r="E340" s="153"/>
      <c r="F340" s="153"/>
      <c r="G340" s="153"/>
      <c r="H340" s="153"/>
      <c r="I340" s="153"/>
    </row>
    <row r="341">
      <c r="E341" s="153"/>
      <c r="F341" s="153"/>
      <c r="G341" s="153"/>
      <c r="H341" s="153"/>
      <c r="I341" s="153"/>
    </row>
    <row r="342">
      <c r="E342" s="153"/>
      <c r="F342" s="153"/>
      <c r="G342" s="153"/>
      <c r="H342" s="153"/>
      <c r="I342" s="153"/>
    </row>
    <row r="343">
      <c r="E343" s="153"/>
      <c r="F343" s="153"/>
      <c r="G343" s="153"/>
      <c r="H343" s="153"/>
      <c r="I343" s="153"/>
    </row>
    <row r="344">
      <c r="E344" s="153"/>
      <c r="F344" s="153"/>
      <c r="G344" s="153"/>
      <c r="H344" s="153"/>
      <c r="I344" s="153"/>
    </row>
    <row r="345">
      <c r="E345" s="153"/>
      <c r="F345" s="153"/>
      <c r="G345" s="153"/>
      <c r="H345" s="153"/>
      <c r="I345" s="153"/>
    </row>
    <row r="346">
      <c r="E346" s="153"/>
      <c r="F346" s="153"/>
      <c r="G346" s="153"/>
      <c r="H346" s="153"/>
      <c r="I346" s="153"/>
    </row>
    <row r="347">
      <c r="E347" s="153"/>
      <c r="F347" s="153"/>
      <c r="G347" s="153"/>
      <c r="H347" s="153"/>
      <c r="I347" s="153"/>
    </row>
    <row r="348">
      <c r="E348" s="153"/>
      <c r="F348" s="153"/>
      <c r="G348" s="153"/>
      <c r="H348" s="153"/>
      <c r="I348" s="153"/>
    </row>
    <row r="349">
      <c r="E349" s="153"/>
      <c r="F349" s="153"/>
      <c r="G349" s="153"/>
      <c r="H349" s="153"/>
      <c r="I349" s="153"/>
    </row>
    <row r="350">
      <c r="E350" s="153"/>
      <c r="F350" s="153"/>
      <c r="G350" s="153"/>
      <c r="H350" s="153"/>
      <c r="I350" s="153"/>
    </row>
    <row r="351">
      <c r="E351" s="153"/>
      <c r="F351" s="153"/>
      <c r="G351" s="153"/>
      <c r="H351" s="153"/>
      <c r="I351" s="153"/>
    </row>
    <row r="352">
      <c r="E352" s="153"/>
      <c r="F352" s="153"/>
      <c r="G352" s="153"/>
      <c r="H352" s="153"/>
      <c r="I352" s="153"/>
    </row>
    <row r="353">
      <c r="E353" s="153"/>
      <c r="F353" s="153"/>
      <c r="G353" s="153"/>
      <c r="H353" s="153"/>
      <c r="I353" s="153"/>
    </row>
    <row r="354">
      <c r="E354" s="153"/>
      <c r="F354" s="153"/>
      <c r="G354" s="153"/>
      <c r="H354" s="153"/>
      <c r="I354" s="153"/>
    </row>
    <row r="355">
      <c r="E355" s="153"/>
      <c r="F355" s="153"/>
      <c r="G355" s="153"/>
      <c r="H355" s="153"/>
      <c r="I355" s="153"/>
    </row>
    <row r="356">
      <c r="E356" s="153"/>
      <c r="F356" s="153"/>
      <c r="G356" s="153"/>
      <c r="H356" s="153"/>
      <c r="I356" s="153"/>
    </row>
    <row r="357">
      <c r="E357" s="153"/>
      <c r="F357" s="153"/>
      <c r="G357" s="153"/>
      <c r="H357" s="153"/>
      <c r="I357" s="153"/>
    </row>
    <row r="358">
      <c r="E358" s="153"/>
      <c r="F358" s="153"/>
      <c r="G358" s="153"/>
      <c r="H358" s="153"/>
      <c r="I358" s="153"/>
    </row>
    <row r="359">
      <c r="E359" s="153"/>
      <c r="F359" s="153"/>
      <c r="G359" s="153"/>
      <c r="H359" s="153"/>
      <c r="I359" s="153"/>
    </row>
    <row r="360">
      <c r="E360" s="153"/>
      <c r="F360" s="153"/>
      <c r="G360" s="153"/>
      <c r="H360" s="153"/>
      <c r="I360" s="153"/>
    </row>
    <row r="361">
      <c r="E361" s="153"/>
      <c r="F361" s="153"/>
      <c r="G361" s="153"/>
      <c r="H361" s="153"/>
      <c r="I361" s="153"/>
    </row>
  </sheetData>
  <autoFilter ref="$E$1:$E$1309"/>
  <mergeCells count="1">
    <mergeCell ref="I6:I8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50.88"/>
    <col customWidth="1" min="11" max="11" width="26.38"/>
    <col customWidth="1" min="12" max="12" width="25.25"/>
    <col customWidth="1" min="13" max="13" width="30.88"/>
  </cols>
  <sheetData>
    <row r="7">
      <c r="H7" s="4"/>
      <c r="I7" s="154"/>
      <c r="J7" s="154"/>
      <c r="K7" s="154"/>
      <c r="L7" s="154"/>
      <c r="M7" s="154"/>
      <c r="N7" s="4"/>
    </row>
    <row r="8">
      <c r="H8" s="53"/>
      <c r="I8" s="1"/>
      <c r="J8" s="155" t="s">
        <v>290</v>
      </c>
      <c r="K8" s="155" t="s">
        <v>4</v>
      </c>
      <c r="L8" s="155" t="s">
        <v>291</v>
      </c>
      <c r="M8" s="156" t="s">
        <v>292</v>
      </c>
      <c r="N8" s="4"/>
    </row>
    <row r="9">
      <c r="H9" s="53"/>
      <c r="I9" s="39">
        <v>1.0</v>
      </c>
      <c r="J9" s="39" t="s">
        <v>293</v>
      </c>
      <c r="K9" s="14">
        <v>30000.0</v>
      </c>
      <c r="L9" s="17">
        <v>30000.0</v>
      </c>
      <c r="M9" s="14">
        <f t="shared" ref="M9:M26" si="1">K9-L9</f>
        <v>0</v>
      </c>
      <c r="N9" s="4"/>
    </row>
    <row r="10">
      <c r="H10" s="53"/>
      <c r="I10" s="39">
        <v>2.0</v>
      </c>
      <c r="J10" s="39" t="s">
        <v>294</v>
      </c>
      <c r="K10" s="14">
        <v>30000.0</v>
      </c>
      <c r="L10" s="14">
        <v>30000.0</v>
      </c>
      <c r="M10" s="14">
        <f t="shared" si="1"/>
        <v>0</v>
      </c>
      <c r="N10" s="4"/>
    </row>
    <row r="11">
      <c r="H11" s="53"/>
      <c r="I11" s="39">
        <v>3.0</v>
      </c>
      <c r="J11" s="39" t="s">
        <v>295</v>
      </c>
      <c r="K11" s="14">
        <f>'Pointage '!C35*1</f>
        <v>19500</v>
      </c>
      <c r="L11" s="17">
        <v>2000.0</v>
      </c>
      <c r="M11" s="14">
        <f t="shared" si="1"/>
        <v>17500</v>
      </c>
      <c r="N11" s="4"/>
    </row>
    <row r="12">
      <c r="H12" s="53"/>
      <c r="I12" s="39">
        <v>4.0</v>
      </c>
      <c r="J12" s="39" t="s">
        <v>56</v>
      </c>
      <c r="K12" s="14">
        <f>'Pointage '!D35*1</f>
        <v>35000</v>
      </c>
      <c r="L12" s="17">
        <v>5000.0</v>
      </c>
      <c r="M12" s="14">
        <f t="shared" si="1"/>
        <v>30000</v>
      </c>
      <c r="N12" s="71" t="s">
        <v>296</v>
      </c>
    </row>
    <row r="13">
      <c r="H13" s="53"/>
      <c r="I13" s="39">
        <v>5.0</v>
      </c>
      <c r="J13" s="39" t="s">
        <v>57</v>
      </c>
      <c r="K13" s="14">
        <f>'Pointage '!E35*1</f>
        <v>33020</v>
      </c>
      <c r="L13" s="14"/>
      <c r="M13" s="14">
        <f t="shared" si="1"/>
        <v>33020</v>
      </c>
      <c r="N13" s="4"/>
    </row>
    <row r="14">
      <c r="H14" s="53"/>
      <c r="I14" s="39">
        <v>6.0</v>
      </c>
      <c r="J14" s="39" t="s">
        <v>58</v>
      </c>
      <c r="K14" s="14">
        <f>'Pointage '!F35*1</f>
        <v>28575</v>
      </c>
      <c r="L14" s="14"/>
      <c r="M14" s="14">
        <f t="shared" si="1"/>
        <v>28575</v>
      </c>
      <c r="N14" s="4"/>
    </row>
    <row r="15">
      <c r="H15" s="53"/>
      <c r="I15" s="39">
        <v>7.0</v>
      </c>
      <c r="J15" s="39" t="s">
        <v>297</v>
      </c>
      <c r="K15" s="14">
        <f>'Pointage '!G35*1</f>
        <v>29427</v>
      </c>
      <c r="L15" s="14"/>
      <c r="M15" s="14">
        <f t="shared" si="1"/>
        <v>29427</v>
      </c>
      <c r="N15" s="4"/>
    </row>
    <row r="16">
      <c r="H16" s="53"/>
      <c r="I16" s="39">
        <v>8.0</v>
      </c>
      <c r="J16" s="39" t="s">
        <v>60</v>
      </c>
      <c r="K16" s="14">
        <f>'Pointage '!H35*1</f>
        <v>8078</v>
      </c>
      <c r="L16" s="14"/>
      <c r="M16" s="14">
        <f t="shared" si="1"/>
        <v>8078</v>
      </c>
      <c r="N16" s="4"/>
    </row>
    <row r="17">
      <c r="H17" s="53"/>
      <c r="I17" s="39">
        <v>9.0</v>
      </c>
      <c r="J17" s="33" t="s">
        <v>298</v>
      </c>
      <c r="K17" s="14">
        <f>'Pointage '!I35*1</f>
        <v>12117</v>
      </c>
      <c r="L17" s="14"/>
      <c r="M17" s="14">
        <f t="shared" si="1"/>
        <v>12117</v>
      </c>
      <c r="N17" s="4"/>
    </row>
    <row r="18">
      <c r="H18" s="53"/>
      <c r="I18" s="39">
        <v>10.0</v>
      </c>
      <c r="J18" s="39" t="s">
        <v>64</v>
      </c>
      <c r="K18" s="14">
        <f>'Pointage '!L35*1</f>
        <v>15000</v>
      </c>
      <c r="L18" s="17">
        <v>16000.0</v>
      </c>
      <c r="M18" s="14">
        <f t="shared" si="1"/>
        <v>-1000</v>
      </c>
      <c r="N18" s="157"/>
    </row>
    <row r="19">
      <c r="H19" s="53"/>
      <c r="I19" s="39">
        <v>11.0</v>
      </c>
      <c r="J19" s="39" t="s">
        <v>62</v>
      </c>
      <c r="K19" s="14">
        <f>'Pointage '!J35*1</f>
        <v>30000</v>
      </c>
      <c r="L19" s="17">
        <v>30000.0</v>
      </c>
      <c r="M19" s="14">
        <f t="shared" si="1"/>
        <v>0</v>
      </c>
      <c r="N19" s="4"/>
    </row>
    <row r="20">
      <c r="H20" s="53"/>
      <c r="I20" s="39">
        <v>12.0</v>
      </c>
      <c r="J20" s="39" t="s">
        <v>68</v>
      </c>
      <c r="K20" s="14">
        <f>'Pointage '!P35*1</f>
        <v>19250</v>
      </c>
      <c r="L20" s="17">
        <v>1000.0</v>
      </c>
      <c r="M20" s="14">
        <f t="shared" si="1"/>
        <v>18250</v>
      </c>
      <c r="N20" s="4"/>
    </row>
    <row r="21">
      <c r="H21" s="53"/>
      <c r="I21" s="39">
        <v>13.0</v>
      </c>
      <c r="J21" s="39" t="s">
        <v>65</v>
      </c>
      <c r="K21" s="14">
        <f>'Pointage '!M35*1</f>
        <v>317.5</v>
      </c>
      <c r="L21" s="14"/>
      <c r="M21" s="14">
        <f t="shared" si="1"/>
        <v>317.5</v>
      </c>
      <c r="N21" s="4"/>
    </row>
    <row r="22">
      <c r="H22" s="53"/>
      <c r="I22" s="39">
        <v>14.0</v>
      </c>
      <c r="J22" s="39" t="s">
        <v>299</v>
      </c>
      <c r="K22" s="14">
        <f>'Pointage '!Q35*1</f>
        <v>27500</v>
      </c>
      <c r="L22" s="14"/>
      <c r="M22" s="14">
        <f t="shared" si="1"/>
        <v>27500</v>
      </c>
      <c r="N22" s="4"/>
    </row>
    <row r="23">
      <c r="H23" s="53"/>
      <c r="I23" s="39">
        <v>15.0</v>
      </c>
      <c r="J23" s="39" t="s">
        <v>66</v>
      </c>
      <c r="K23" s="14">
        <f>'Pointage '!N35*1</f>
        <v>14400</v>
      </c>
      <c r="L23" s="17">
        <v>5000.0</v>
      </c>
      <c r="M23" s="14">
        <f t="shared" si="1"/>
        <v>9400</v>
      </c>
      <c r="N23" s="4"/>
    </row>
    <row r="24">
      <c r="H24" s="53"/>
      <c r="I24" s="39">
        <v>16.0</v>
      </c>
      <c r="J24" s="39" t="s">
        <v>300</v>
      </c>
      <c r="K24" s="14">
        <f>'Pointage '!R35*1</f>
        <v>22825</v>
      </c>
      <c r="L24" s="14"/>
      <c r="M24" s="14">
        <f t="shared" si="1"/>
        <v>22825</v>
      </c>
      <c r="N24" s="4"/>
    </row>
    <row r="25">
      <c r="H25" s="53"/>
      <c r="I25" s="33">
        <v>17.0</v>
      </c>
      <c r="J25" s="33" t="s">
        <v>67</v>
      </c>
      <c r="K25" s="14">
        <f>'Pointage '!O35*1</f>
        <v>7700</v>
      </c>
      <c r="L25" s="17"/>
      <c r="M25" s="14">
        <f t="shared" si="1"/>
        <v>7700</v>
      </c>
      <c r="N25" s="4"/>
    </row>
    <row r="26">
      <c r="H26" s="53"/>
      <c r="I26" s="33">
        <v>18.0</v>
      </c>
      <c r="J26" s="33" t="s">
        <v>63</v>
      </c>
      <c r="K26" s="14">
        <f>'Pointage '!K35*1</f>
        <v>23800</v>
      </c>
      <c r="L26" s="17">
        <v>5000.0</v>
      </c>
      <c r="M26" s="14">
        <f t="shared" si="1"/>
        <v>18800</v>
      </c>
      <c r="N26" s="4"/>
    </row>
    <row r="27">
      <c r="H27" s="53"/>
      <c r="I27" s="1"/>
      <c r="J27" s="28" t="s">
        <v>301</v>
      </c>
      <c r="K27" s="30">
        <f t="shared" ref="K27:M27" si="2">SUM(K9:K26)</f>
        <v>386509.5</v>
      </c>
      <c r="L27" s="158">
        <f t="shared" si="2"/>
        <v>124000</v>
      </c>
      <c r="M27" s="107">
        <f t="shared" si="2"/>
        <v>262509.5</v>
      </c>
      <c r="N27" s="4"/>
    </row>
    <row r="28">
      <c r="H28" s="53"/>
      <c r="I28" s="1"/>
      <c r="J28" s="159">
        <f>K27-L27</f>
        <v>262509.5</v>
      </c>
      <c r="K28" s="1"/>
      <c r="L28" s="1"/>
      <c r="M28" s="29">
        <f>K28-L28</f>
        <v>0</v>
      </c>
      <c r="N28" s="4"/>
    </row>
    <row r="29">
      <c r="H29" s="4"/>
      <c r="I29" s="4"/>
      <c r="J29" s="4"/>
      <c r="K29" s="4"/>
      <c r="L29" s="4"/>
      <c r="M29" s="4"/>
      <c r="N29" s="4"/>
    </row>
    <row r="30">
      <c r="H30" s="4"/>
      <c r="I30" s="4"/>
      <c r="J30" s="4"/>
      <c r="K30" s="4"/>
      <c r="L30" s="4"/>
      <c r="M30" s="4"/>
      <c r="N30" s="4"/>
    </row>
    <row r="31">
      <c r="H31" s="4"/>
      <c r="I31" s="4"/>
      <c r="J31" s="4"/>
      <c r="K31" s="4"/>
      <c r="L31" s="4"/>
      <c r="M31" s="4"/>
      <c r="N31" s="4"/>
    </row>
    <row r="32">
      <c r="H32" s="4"/>
      <c r="I32" s="4"/>
      <c r="J32" s="4"/>
      <c r="K32" s="4"/>
      <c r="L32" s="4"/>
      <c r="M32" s="4"/>
      <c r="N32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88"/>
    <col customWidth="1" min="3" max="3" width="25.63"/>
    <col customWidth="1" min="4" max="4" width="27.38"/>
    <col customWidth="1" min="5" max="5" width="21.63"/>
    <col customWidth="1" min="6" max="6" width="21.38"/>
    <col customWidth="1" min="7" max="7" width="32.13"/>
    <col customWidth="1" min="8" max="8" width="26.13"/>
    <col customWidth="1" min="9" max="9" width="24.63"/>
    <col customWidth="1" min="10" max="10" width="25.88"/>
    <col customWidth="1" min="11" max="11" width="30.38"/>
    <col customWidth="1" min="12" max="12" width="26.38"/>
    <col customWidth="1" min="13" max="13" width="30.13"/>
    <col customWidth="1" min="14" max="14" width="31.13"/>
    <col customWidth="1" min="15" max="15" width="31.38"/>
    <col customWidth="1" min="20" max="20" width="21.88"/>
    <col customWidth="1" min="21" max="21" width="31.88"/>
    <col customWidth="1" min="22" max="22" width="29.38"/>
    <col customWidth="1" min="24" max="24" width="25.13"/>
    <col customWidth="1" min="25" max="25" width="28.88"/>
  </cols>
  <sheetData>
    <row r="7">
      <c r="H7" s="160">
        <v>2023.0</v>
      </c>
    </row>
    <row r="18">
      <c r="B18" s="161"/>
      <c r="C18" s="162" t="s">
        <v>302</v>
      </c>
      <c r="D18" s="163" t="s">
        <v>303</v>
      </c>
      <c r="E18" s="163" t="s">
        <v>304</v>
      </c>
      <c r="F18" s="163" t="s">
        <v>305</v>
      </c>
      <c r="G18" s="163" t="s">
        <v>306</v>
      </c>
      <c r="H18" s="163" t="s">
        <v>307</v>
      </c>
      <c r="I18" s="163" t="s">
        <v>308</v>
      </c>
      <c r="J18" s="164" t="s">
        <v>309</v>
      </c>
      <c r="K18" s="164" t="s">
        <v>310</v>
      </c>
      <c r="L18" s="164" t="s">
        <v>311</v>
      </c>
      <c r="M18" s="164" t="s">
        <v>83</v>
      </c>
      <c r="N18" s="164" t="s">
        <v>312</v>
      </c>
      <c r="O18" s="165" t="s">
        <v>289</v>
      </c>
      <c r="P18" s="4"/>
      <c r="Q18" s="4"/>
      <c r="R18" s="4"/>
    </row>
    <row r="19">
      <c r="B19" s="166" t="s">
        <v>2</v>
      </c>
      <c r="C19" s="30">
        <v>1441000.0</v>
      </c>
      <c r="D19" s="30">
        <v>1400000.0</v>
      </c>
      <c r="E19" s="30">
        <v>1928000.0</v>
      </c>
      <c r="F19" s="30">
        <v>1488000.0</v>
      </c>
      <c r="G19" s="30">
        <v>1540000.0</v>
      </c>
      <c r="H19" s="30">
        <v>1577000.0</v>
      </c>
      <c r="I19" s="30">
        <v>1880000.0</v>
      </c>
      <c r="J19" s="30">
        <v>941000.0</v>
      </c>
      <c r="K19" s="167">
        <v>1629000.0</v>
      </c>
      <c r="L19" s="55">
        <v>1264000.0</v>
      </c>
      <c r="M19" s="55">
        <v>1254000.0</v>
      </c>
      <c r="N19" s="37">
        <v>1672000.0</v>
      </c>
      <c r="O19" s="55">
        <f t="shared" ref="O19:O23" si="1">SUM(C19:N19)</f>
        <v>18014000</v>
      </c>
      <c r="P19" s="4"/>
      <c r="Q19" s="4"/>
      <c r="R19" s="4"/>
    </row>
    <row r="20">
      <c r="B20" s="166" t="s">
        <v>3</v>
      </c>
      <c r="C20" s="30">
        <v>749000.0</v>
      </c>
      <c r="D20" s="30">
        <v>597000.0</v>
      </c>
      <c r="E20" s="30">
        <v>938000.0</v>
      </c>
      <c r="F20" s="30">
        <v>670000.0</v>
      </c>
      <c r="G20" s="30">
        <v>753000.0</v>
      </c>
      <c r="H20" s="30">
        <v>716000.0</v>
      </c>
      <c r="I20" s="30">
        <v>834000.0</v>
      </c>
      <c r="J20" s="30">
        <v>492000.0</v>
      </c>
      <c r="K20" s="167">
        <v>692000.0</v>
      </c>
      <c r="L20" s="55">
        <v>580000.0</v>
      </c>
      <c r="M20" s="55">
        <v>509000.0</v>
      </c>
      <c r="N20" s="37">
        <v>727000.0</v>
      </c>
      <c r="O20" s="55">
        <f t="shared" si="1"/>
        <v>8257000</v>
      </c>
      <c r="P20" s="4"/>
      <c r="Q20" s="4"/>
      <c r="R20" s="4"/>
    </row>
    <row r="21">
      <c r="B21" s="166" t="s">
        <v>313</v>
      </c>
      <c r="C21" s="30">
        <v>332000.0</v>
      </c>
      <c r="D21" s="30">
        <v>413000.0</v>
      </c>
      <c r="E21" s="30">
        <v>360000.0</v>
      </c>
      <c r="F21" s="30">
        <v>335000.0</v>
      </c>
      <c r="G21" s="30">
        <v>347000.0</v>
      </c>
      <c r="H21" s="30">
        <v>331000.0</v>
      </c>
      <c r="I21" s="30">
        <v>416000.0</v>
      </c>
      <c r="J21" s="30">
        <v>239000.0</v>
      </c>
      <c r="K21" s="167">
        <v>287000.0</v>
      </c>
      <c r="L21" s="55">
        <v>364000.0</v>
      </c>
      <c r="M21" s="55">
        <v>305000.0</v>
      </c>
      <c r="N21" s="37">
        <v>385000.0</v>
      </c>
      <c r="O21" s="55">
        <f t="shared" si="1"/>
        <v>4114000</v>
      </c>
      <c r="P21" s="4"/>
      <c r="Q21" s="4"/>
      <c r="R21" s="4"/>
    </row>
    <row r="22">
      <c r="B22" s="166" t="s">
        <v>5</v>
      </c>
      <c r="C22" s="30">
        <v>110000.0</v>
      </c>
      <c r="D22" s="30">
        <v>110000.0</v>
      </c>
      <c r="E22" s="30">
        <v>110000.0</v>
      </c>
      <c r="F22" s="30">
        <v>110000.0</v>
      </c>
      <c r="G22" s="30">
        <v>110000.0</v>
      </c>
      <c r="H22" s="30">
        <v>110000.0</v>
      </c>
      <c r="I22" s="30">
        <v>110000.0</v>
      </c>
      <c r="J22" s="30">
        <v>110000.0</v>
      </c>
      <c r="K22" s="167">
        <v>110000.0</v>
      </c>
      <c r="L22" s="55">
        <v>110000.0</v>
      </c>
      <c r="M22" s="55">
        <v>110000.0</v>
      </c>
      <c r="N22" s="37">
        <v>110000.0</v>
      </c>
      <c r="O22" s="55">
        <f t="shared" si="1"/>
        <v>1320000</v>
      </c>
      <c r="P22" s="4"/>
      <c r="Q22" s="4"/>
      <c r="R22" s="4"/>
    </row>
    <row r="23">
      <c r="B23" s="166" t="s">
        <v>314</v>
      </c>
      <c r="C23" s="30">
        <v>250000.0</v>
      </c>
      <c r="D23" s="30">
        <v>280000.0</v>
      </c>
      <c r="E23" s="30">
        <v>520000.0</v>
      </c>
      <c r="F23" s="30">
        <v>370000.0</v>
      </c>
      <c r="G23" s="30">
        <f t="shared" ref="G23:H23" si="2">G19-G20-G21-G22</f>
        <v>330000</v>
      </c>
      <c r="H23" s="30">
        <f t="shared" si="2"/>
        <v>420000</v>
      </c>
      <c r="I23" s="30">
        <v>520000.0</v>
      </c>
      <c r="J23" s="30">
        <v>100000.0</v>
      </c>
      <c r="K23" s="167">
        <v>540000.0</v>
      </c>
      <c r="L23" s="55">
        <v>210000.0</v>
      </c>
      <c r="M23" s="55">
        <f>M19-M20-M21-M22</f>
        <v>330000</v>
      </c>
      <c r="N23" s="37">
        <v>450000.0</v>
      </c>
      <c r="O23" s="55">
        <f t="shared" si="1"/>
        <v>4320000</v>
      </c>
      <c r="P23" s="4"/>
      <c r="Q23" s="4"/>
      <c r="R23" s="4"/>
    </row>
    <row r="2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>
      <c r="B36" s="4"/>
      <c r="C36" s="4"/>
      <c r="D36" s="4"/>
      <c r="E36" s="4"/>
      <c r="F36" s="15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>
      <c r="B37" s="4"/>
      <c r="C37" s="4"/>
      <c r="D37" s="4"/>
      <c r="E37" s="53"/>
      <c r="F37" s="154"/>
      <c r="G37" s="168" t="s">
        <v>315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>
      <c r="B38" s="4"/>
      <c r="C38" s="4"/>
      <c r="D38" s="4"/>
      <c r="E38" s="53"/>
      <c r="F38" s="169" t="s">
        <v>2</v>
      </c>
      <c r="G38" s="59">
        <v>1672000.0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>
      <c r="B39" s="4"/>
      <c r="C39" s="4"/>
      <c r="D39" s="4"/>
      <c r="E39" s="53"/>
      <c r="F39" s="169" t="s">
        <v>3</v>
      </c>
      <c r="G39" s="59">
        <v>727000.0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>
      <c r="B40" s="4"/>
      <c r="C40" s="4"/>
      <c r="D40" s="4"/>
      <c r="E40" s="53"/>
      <c r="F40" s="169" t="s">
        <v>313</v>
      </c>
      <c r="G40" s="59">
        <v>385000.0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>
      <c r="B41" s="4"/>
      <c r="C41" s="4"/>
      <c r="D41" s="4"/>
      <c r="E41" s="53"/>
      <c r="F41" s="169" t="s">
        <v>5</v>
      </c>
      <c r="G41" s="55">
        <v>110000.0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>
      <c r="B42" s="4"/>
      <c r="C42" s="4"/>
      <c r="D42" s="4"/>
      <c r="E42" s="53"/>
      <c r="F42" s="169" t="s">
        <v>314</v>
      </c>
      <c r="G42" s="55">
        <f>G38-G39-G40-G41</f>
        <v>450000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T42" s="154"/>
      <c r="U42" s="164" t="s">
        <v>83</v>
      </c>
      <c r="V42" s="168" t="s">
        <v>315</v>
      </c>
    </row>
    <row r="4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T43" s="169" t="s">
        <v>2</v>
      </c>
      <c r="U43" s="55">
        <v>1254000.0</v>
      </c>
      <c r="V43" s="59">
        <v>1672000.0</v>
      </c>
    </row>
    <row r="4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T44" s="169" t="s">
        <v>3</v>
      </c>
      <c r="U44" s="55">
        <v>509000.0</v>
      </c>
      <c r="V44" s="59">
        <v>727000.0</v>
      </c>
    </row>
    <row r="4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T45" s="169" t="s">
        <v>313</v>
      </c>
      <c r="U45" s="55">
        <v>305000.0</v>
      </c>
      <c r="V45" s="59">
        <v>385000.0</v>
      </c>
    </row>
    <row r="46">
      <c r="T46" s="169" t="s">
        <v>5</v>
      </c>
      <c r="U46" s="55">
        <v>110000.0</v>
      </c>
      <c r="V46" s="55">
        <v>110000.0</v>
      </c>
    </row>
    <row r="47">
      <c r="T47" s="169" t="s">
        <v>314</v>
      </c>
      <c r="U47" s="55">
        <f t="shared" ref="U47:V47" si="3">U43-U44-U45-U46</f>
        <v>330000</v>
      </c>
      <c r="V47" s="55">
        <f t="shared" si="3"/>
        <v>450000</v>
      </c>
    </row>
    <row r="59">
      <c r="X59" s="161"/>
      <c r="Y59" s="170" t="s">
        <v>316</v>
      </c>
    </row>
    <row r="60">
      <c r="X60" s="166" t="s">
        <v>2</v>
      </c>
      <c r="Y60" s="55">
        <f t="shared" ref="Y60:Y64" si="4">O19</f>
        <v>18014000</v>
      </c>
    </row>
    <row r="61">
      <c r="X61" s="166" t="s">
        <v>3</v>
      </c>
      <c r="Y61" s="55">
        <f t="shared" si="4"/>
        <v>8257000</v>
      </c>
    </row>
    <row r="62">
      <c r="X62" s="166" t="s">
        <v>313</v>
      </c>
      <c r="Y62" s="55">
        <f t="shared" si="4"/>
        <v>4114000</v>
      </c>
    </row>
    <row r="63">
      <c r="X63" s="166" t="s">
        <v>5</v>
      </c>
      <c r="Y63" s="55">
        <f t="shared" si="4"/>
        <v>1320000</v>
      </c>
    </row>
    <row r="64">
      <c r="X64" s="166" t="s">
        <v>314</v>
      </c>
      <c r="Y64" s="55">
        <f t="shared" si="4"/>
        <v>4320000</v>
      </c>
    </row>
  </sheetData>
  <drawing r:id="rId1"/>
</worksheet>
</file>