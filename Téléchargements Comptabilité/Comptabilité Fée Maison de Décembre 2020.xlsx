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" sheetId="3" r:id="rId6"/>
    <sheet state="visible" name="Salaires" sheetId="4" r:id="rId7"/>
  </sheets>
  <definedNames/>
  <calcPr/>
</workbook>
</file>

<file path=xl/sharedStrings.xml><?xml version="1.0" encoding="utf-8"?>
<sst xmlns="http://schemas.openxmlformats.org/spreadsheetml/2006/main" count="482" uniqueCount="293">
  <si>
    <t>Date</t>
  </si>
  <si>
    <t xml:space="preserve">Recette mois d'Octobre </t>
  </si>
  <si>
    <t>Recette  de Novembre</t>
  </si>
  <si>
    <t xml:space="preserve">Recette </t>
  </si>
  <si>
    <t>Charges</t>
  </si>
  <si>
    <t>Salaire</t>
  </si>
  <si>
    <t>Loyer</t>
  </si>
  <si>
    <t>Net Profit</t>
  </si>
  <si>
    <t>Nb de jours</t>
  </si>
  <si>
    <t xml:space="preserve">Novembre </t>
  </si>
  <si>
    <t xml:space="preserve">Octobre </t>
  </si>
  <si>
    <t>Mardi</t>
  </si>
  <si>
    <t xml:space="preserve">Moyenne </t>
  </si>
  <si>
    <t>Mercredi</t>
  </si>
  <si>
    <t>Jeudi</t>
  </si>
  <si>
    <t>Vendredi</t>
  </si>
  <si>
    <t>Samedi</t>
  </si>
  <si>
    <t>Dimanche</t>
  </si>
  <si>
    <t>Lundi</t>
  </si>
  <si>
    <t xml:space="preserve">Cash restant </t>
  </si>
  <si>
    <t>Magasin</t>
  </si>
  <si>
    <t>Différence mois de Novembre</t>
  </si>
  <si>
    <t xml:space="preserve">Différence mois d'Octobre </t>
  </si>
  <si>
    <t>Sofiane</t>
  </si>
  <si>
    <t>viande</t>
  </si>
  <si>
    <t>machine+viande</t>
  </si>
  <si>
    <t>/</t>
  </si>
  <si>
    <t>Islem</t>
  </si>
  <si>
    <t>charges janvier</t>
  </si>
  <si>
    <t>Amel</t>
  </si>
  <si>
    <t>TOTAL</t>
  </si>
  <si>
    <t>TAUX</t>
  </si>
  <si>
    <t>Produit</t>
  </si>
  <si>
    <t>Quantité</t>
  </si>
  <si>
    <t>Prix</t>
  </si>
  <si>
    <t>Date d'achat</t>
  </si>
  <si>
    <t>Gheress</t>
  </si>
  <si>
    <t>20kg</t>
  </si>
  <si>
    <t>vanille</t>
  </si>
  <si>
    <t>1kg</t>
  </si>
  <si>
    <t>sacs en papier 23</t>
  </si>
  <si>
    <t>2 fardeaux</t>
  </si>
  <si>
    <t>chocolat à tartiner</t>
  </si>
  <si>
    <t>9kg</t>
  </si>
  <si>
    <t>Farine Mama</t>
  </si>
  <si>
    <t>4 fardeaux</t>
  </si>
  <si>
    <t>Margarine Mani</t>
  </si>
  <si>
    <t>1 carton de 24 boites</t>
  </si>
  <si>
    <t xml:space="preserve">eau fleur d'oranger </t>
  </si>
  <si>
    <t>1 carton de 12</t>
  </si>
  <si>
    <t>na3ena3 yabess</t>
  </si>
  <si>
    <t>huile</t>
  </si>
  <si>
    <t>20 bidons</t>
  </si>
  <si>
    <t xml:space="preserve">semoule Sim fine et moyenne </t>
  </si>
  <si>
    <t xml:space="preserve">confiture </t>
  </si>
  <si>
    <t>12kg</t>
  </si>
  <si>
    <t xml:space="preserve">arachides éfilet </t>
  </si>
  <si>
    <t xml:space="preserve">1kg </t>
  </si>
  <si>
    <t xml:space="preserve">djeldjelan </t>
  </si>
  <si>
    <t>500g</t>
  </si>
  <si>
    <t>maizina</t>
  </si>
  <si>
    <t>2kg</t>
  </si>
  <si>
    <t>amandes</t>
  </si>
  <si>
    <t>sel</t>
  </si>
  <si>
    <t>1 fardeau</t>
  </si>
  <si>
    <t>sucre glace</t>
  </si>
  <si>
    <t xml:space="preserve">Sucre cristalisé </t>
  </si>
  <si>
    <t xml:space="preserve">semen </t>
  </si>
  <si>
    <t xml:space="preserve">1 carton </t>
  </si>
  <si>
    <t xml:space="preserve">1 carton de 24 boites </t>
  </si>
  <si>
    <t>levure Nouara</t>
  </si>
  <si>
    <t>1 boite</t>
  </si>
  <si>
    <t>chocolat glaçage</t>
  </si>
  <si>
    <t xml:space="preserve">5 boites </t>
  </si>
  <si>
    <t>lave sol</t>
  </si>
  <si>
    <t xml:space="preserve">Serpièrre </t>
  </si>
  <si>
    <t>Boites 08/07</t>
  </si>
  <si>
    <t>2 cartons</t>
  </si>
  <si>
    <t>Boites 36/07</t>
  </si>
  <si>
    <t xml:space="preserve">2 cartons </t>
  </si>
  <si>
    <t>Boites 36/10</t>
  </si>
  <si>
    <t>Boites 48/10</t>
  </si>
  <si>
    <t>Semoule fine Moula 10kg</t>
  </si>
  <si>
    <t>3 sachets</t>
  </si>
  <si>
    <t xml:space="preserve">3 sachets </t>
  </si>
  <si>
    <t xml:space="preserve">Semoule fine Mama 25kg </t>
  </si>
  <si>
    <t xml:space="preserve">7 sachets </t>
  </si>
  <si>
    <t>Semoule fine Mama 10KG</t>
  </si>
  <si>
    <t>15 sachets</t>
  </si>
  <si>
    <t>tomate fraiche</t>
  </si>
  <si>
    <t>transport semoule</t>
  </si>
  <si>
    <t>Rechta</t>
  </si>
  <si>
    <t>30kg</t>
  </si>
  <si>
    <t>bessel</t>
  </si>
  <si>
    <t>100kg</t>
  </si>
  <si>
    <t>ka3ek nakach</t>
  </si>
  <si>
    <t>90 pièces</t>
  </si>
  <si>
    <t>yaourt</t>
  </si>
  <si>
    <t>8 boites</t>
  </si>
  <si>
    <t>papier aluminium</t>
  </si>
  <si>
    <t>50m</t>
  </si>
  <si>
    <t>oeufs</t>
  </si>
  <si>
    <t>couscous Sim</t>
  </si>
  <si>
    <t>herbes</t>
  </si>
  <si>
    <t>Semoule Mama</t>
  </si>
  <si>
    <t>14kg</t>
  </si>
  <si>
    <t>10kg</t>
  </si>
  <si>
    <t>2.5kg</t>
  </si>
  <si>
    <t>2 plateaux</t>
  </si>
  <si>
    <t>isis</t>
  </si>
  <si>
    <t>3 lires</t>
  </si>
  <si>
    <t>200m</t>
  </si>
  <si>
    <t>106kg</t>
  </si>
  <si>
    <t>10 fardeaux</t>
  </si>
  <si>
    <t>légumes</t>
  </si>
  <si>
    <t>poulet</t>
  </si>
  <si>
    <t xml:space="preserve">transport  </t>
  </si>
  <si>
    <t>semoule mama 25kg</t>
  </si>
  <si>
    <t>Trasport</t>
  </si>
  <si>
    <t xml:space="preserve">eau grande taille </t>
  </si>
  <si>
    <t>5 fardeaux</t>
  </si>
  <si>
    <t xml:space="preserve">eau petite taille </t>
  </si>
  <si>
    <t>Coca canette</t>
  </si>
  <si>
    <t xml:space="preserve">coca bouteille </t>
  </si>
  <si>
    <t>Ifruit</t>
  </si>
  <si>
    <t>gateaux aux chocolat</t>
  </si>
  <si>
    <t>transport</t>
  </si>
  <si>
    <t>gaz+eau d'oranger</t>
  </si>
  <si>
    <t>maa zehar</t>
  </si>
  <si>
    <t>2 cartons de 12 bouteilles</t>
  </si>
  <si>
    <t>harrissa</t>
  </si>
  <si>
    <t>1 carton 12kg</t>
  </si>
  <si>
    <t xml:space="preserve">2 cartons de 24 boites </t>
  </si>
  <si>
    <t>miel 5kg</t>
  </si>
  <si>
    <t>semoule moyenne 25kg</t>
  </si>
  <si>
    <t xml:space="preserve">1 sachet </t>
  </si>
  <si>
    <t xml:space="preserve">1 boite </t>
  </si>
  <si>
    <t>confiture 1kg</t>
  </si>
  <si>
    <t xml:space="preserve">12 boites </t>
  </si>
  <si>
    <t>sacs en papier 14</t>
  </si>
  <si>
    <t xml:space="preserve">semoule 5 etoiles fine </t>
  </si>
  <si>
    <t>Transport marchandises</t>
  </si>
  <si>
    <t xml:space="preserve">rechta </t>
  </si>
  <si>
    <t>gheress</t>
  </si>
  <si>
    <t>16kg</t>
  </si>
  <si>
    <t>les herbes</t>
  </si>
  <si>
    <t>3akeri</t>
  </si>
  <si>
    <t>détergents</t>
  </si>
  <si>
    <t>poulet haché +viande hachée</t>
  </si>
  <si>
    <t xml:space="preserve">thon </t>
  </si>
  <si>
    <t>flexy djezzy internet</t>
  </si>
  <si>
    <t>160 pièces</t>
  </si>
  <si>
    <t xml:space="preserve">chocolati </t>
  </si>
  <si>
    <t>moul silicon</t>
  </si>
  <si>
    <t>tiges cojaque</t>
  </si>
  <si>
    <t>caissetes 2</t>
  </si>
  <si>
    <t>semoule sim moyenne</t>
  </si>
  <si>
    <t>5*2kg</t>
  </si>
  <si>
    <t xml:space="preserve">Tofia </t>
  </si>
  <si>
    <t>Tofia praliné</t>
  </si>
  <si>
    <t>noisette</t>
  </si>
  <si>
    <t>100g</t>
  </si>
  <si>
    <t>poulet et viande haché</t>
  </si>
  <si>
    <t>0912/2020</t>
  </si>
  <si>
    <t>semoule Mama fardeau de(6*2kg)</t>
  </si>
  <si>
    <t xml:space="preserve">poulet Haché    </t>
  </si>
  <si>
    <t>viande hachée</t>
  </si>
  <si>
    <t>deyoul</t>
  </si>
  <si>
    <t>fromage</t>
  </si>
  <si>
    <t>2barres</t>
  </si>
  <si>
    <t>les légumes</t>
  </si>
  <si>
    <t>77 pièces</t>
  </si>
  <si>
    <t>Recheta</t>
  </si>
  <si>
    <t xml:space="preserve">deyoul </t>
  </si>
  <si>
    <t>chifon+serpière</t>
  </si>
  <si>
    <t>Transport</t>
  </si>
  <si>
    <t>tranport zehor</t>
  </si>
  <si>
    <t>amandes+zebib+cacao</t>
  </si>
  <si>
    <t>ouefs</t>
  </si>
  <si>
    <t>1 plateau</t>
  </si>
  <si>
    <t>boites 12/7 36/7 36/10 +sachets 5</t>
  </si>
  <si>
    <t>colorants chocolat</t>
  </si>
  <si>
    <t xml:space="preserve">moule silicon </t>
  </si>
  <si>
    <t>0.68</t>
  </si>
  <si>
    <t>taba3 inox</t>
  </si>
  <si>
    <t>coupe pate</t>
  </si>
  <si>
    <t>chocolat Dada</t>
  </si>
  <si>
    <t>moule cake</t>
  </si>
  <si>
    <t>crème fraiche</t>
  </si>
  <si>
    <t>boites</t>
  </si>
  <si>
    <t>friandises</t>
  </si>
  <si>
    <t>amandes efilé</t>
  </si>
  <si>
    <t>0.08</t>
  </si>
  <si>
    <t>lentilles + poichiche</t>
  </si>
  <si>
    <t>plateaux oeufs</t>
  </si>
  <si>
    <t>isis , lave main</t>
  </si>
  <si>
    <t>herebes</t>
  </si>
  <si>
    <t xml:space="preserve">aluminium </t>
  </si>
  <si>
    <t xml:space="preserve">semoule  moyenne Sim </t>
  </si>
  <si>
    <t>5 sachets de 10kg</t>
  </si>
  <si>
    <t>semoule moyenne Sim 2kg</t>
  </si>
  <si>
    <t>Tomate conserve</t>
  </si>
  <si>
    <t xml:space="preserve"> 12kg</t>
  </si>
  <si>
    <t>2 bidons de 9kg</t>
  </si>
  <si>
    <t>Pate arome citron</t>
  </si>
  <si>
    <t>chocolat chocomie</t>
  </si>
  <si>
    <t xml:space="preserve">transport </t>
  </si>
  <si>
    <t>dowara</t>
  </si>
  <si>
    <t xml:space="preserve">poulet </t>
  </si>
  <si>
    <t>teliteli</t>
  </si>
  <si>
    <t>1.5kg</t>
  </si>
  <si>
    <t xml:space="preserve">recheta </t>
  </si>
  <si>
    <t>courgette</t>
  </si>
  <si>
    <t xml:space="preserve">petit pois </t>
  </si>
  <si>
    <t>épice</t>
  </si>
  <si>
    <t>ail</t>
  </si>
  <si>
    <t>semoule fine mama</t>
  </si>
  <si>
    <t>11kg</t>
  </si>
  <si>
    <t>45kg</t>
  </si>
  <si>
    <t>rallonge</t>
  </si>
  <si>
    <t>poulet haché</t>
  </si>
  <si>
    <t>600g</t>
  </si>
  <si>
    <t>viande hachéée</t>
  </si>
  <si>
    <t>boites 36/7 36/10 48/10</t>
  </si>
  <si>
    <t>2 cartos de chaque 50</t>
  </si>
  <si>
    <t>5kg</t>
  </si>
  <si>
    <t xml:space="preserve">chantilly </t>
  </si>
  <si>
    <t>fouillet</t>
  </si>
  <si>
    <t>spatule</t>
  </si>
  <si>
    <t xml:space="preserve">Sim moyenne </t>
  </si>
  <si>
    <t>1 fardeau de 2kg</t>
  </si>
  <si>
    <t>boules de déco</t>
  </si>
  <si>
    <t>marqueur+puneses+autocolants</t>
  </si>
  <si>
    <t>raisins secs</t>
  </si>
  <si>
    <t>400g</t>
  </si>
  <si>
    <t>rechta</t>
  </si>
  <si>
    <t>17kg</t>
  </si>
  <si>
    <t>bessel+tomate fraiche</t>
  </si>
  <si>
    <t>120kg</t>
  </si>
  <si>
    <t>storme</t>
  </si>
  <si>
    <t>10 bidons de 5litres</t>
  </si>
  <si>
    <t>24kg</t>
  </si>
  <si>
    <t>Semoule de blé complet</t>
  </si>
  <si>
    <t>50kg</t>
  </si>
  <si>
    <t>recheta</t>
  </si>
  <si>
    <t>3kg</t>
  </si>
  <si>
    <t>cuisses</t>
  </si>
  <si>
    <t>les boites</t>
  </si>
  <si>
    <t>chocolat</t>
  </si>
  <si>
    <t>sachets et rubons</t>
  </si>
  <si>
    <t>décoration</t>
  </si>
  <si>
    <t xml:space="preserve">cuisses </t>
  </si>
  <si>
    <t xml:space="preserve">yaourt </t>
  </si>
  <si>
    <t>optella</t>
  </si>
  <si>
    <t xml:space="preserve">persil +ze3itera </t>
  </si>
  <si>
    <t>semoule fine mama 25kg+sim 2kg</t>
  </si>
  <si>
    <t>1+7</t>
  </si>
  <si>
    <t>400+160</t>
  </si>
  <si>
    <t>350g</t>
  </si>
  <si>
    <t>cuisse +blanc</t>
  </si>
  <si>
    <t>boites 1185</t>
  </si>
  <si>
    <t>Baghrir</t>
  </si>
  <si>
    <t>20 jours</t>
  </si>
  <si>
    <t>poulet hachée</t>
  </si>
  <si>
    <t>blanc de poulet</t>
  </si>
  <si>
    <t>fromage cheddar</t>
  </si>
  <si>
    <t>yaourt nature</t>
  </si>
  <si>
    <t>olive noir, effilet, déyauté</t>
  </si>
  <si>
    <t>tomate</t>
  </si>
  <si>
    <t>salade verte</t>
  </si>
  <si>
    <t xml:space="preserve">bessel </t>
  </si>
  <si>
    <t>60kg</t>
  </si>
  <si>
    <t>TOTALE</t>
  </si>
  <si>
    <t xml:space="preserve">Somme initiale </t>
  </si>
  <si>
    <t>Rest</t>
  </si>
  <si>
    <t>Zehor</t>
  </si>
  <si>
    <t>Zoubida</t>
  </si>
  <si>
    <t xml:space="preserve">Nadjet </t>
  </si>
  <si>
    <t>Nawel</t>
  </si>
  <si>
    <t>Hadjer</t>
  </si>
  <si>
    <t>Soumia</t>
  </si>
  <si>
    <t>Karima</t>
  </si>
  <si>
    <t>Nouara</t>
  </si>
  <si>
    <t>Zahida</t>
  </si>
  <si>
    <t>Remarque</t>
  </si>
  <si>
    <t>Total</t>
  </si>
  <si>
    <t>Salaire/jour</t>
  </si>
  <si>
    <t>SALAIRES</t>
  </si>
  <si>
    <t xml:space="preserve">Nom </t>
  </si>
  <si>
    <t>Avance</t>
  </si>
  <si>
    <t>Nowara</t>
  </si>
  <si>
    <t>karima</t>
  </si>
  <si>
    <t>Nadjet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</si>
</sst>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#,##0.00&quot;€&quot;"/>
    <numFmt numFmtId="167" formatCode="d/m/yyyy"/>
  </numFmts>
  <fonts count="20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</font>
    <font>
      <b/>
      <sz val="12.0"/>
      <color rgb="FFFF0000"/>
      <name val="Arial"/>
    </font>
    <font>
      <b/>
      <sz val="12.0"/>
      <color rgb="FFFF0000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b/>
      <sz val="18.0"/>
      <color theme="1"/>
      <name val="Arial"/>
    </font>
    <font>
      <sz val="14.0"/>
      <color theme="1"/>
      <name val="Arial"/>
    </font>
    <font>
      <b/>
      <sz val="14.0"/>
      <color rgb="FFFF0000"/>
      <name val="Arial"/>
    </font>
    <font>
      <b/>
      <sz val="12.0"/>
      <color rgb="FF0000FF"/>
      <name val="Arial"/>
    </font>
    <font>
      <sz val="12.0"/>
      <color rgb="FF000000"/>
      <name val="Arial"/>
    </font>
    <font>
      <sz val="12.0"/>
      <color rgb="FF000000"/>
      <name val="Arial"/>
      <scheme val="minor"/>
    </font>
    <font>
      <b/>
      <sz val="14.0"/>
      <color rgb="FF1C4587"/>
      <name val="Arial"/>
    </font>
    <font>
      <sz val="18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EA4335"/>
        <bgColor rgb="FFEA433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ill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1" numFmtId="165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readingOrder="0" vertical="bottom"/>
    </xf>
    <xf borderId="1" fillId="5" fontId="5" numFmtId="165" xfId="0" applyAlignment="1" applyBorder="1" applyFont="1" applyNumberFormat="1">
      <alignment horizontal="center" readingOrder="0"/>
    </xf>
    <xf borderId="1" fillId="5" fontId="5" numFmtId="166" xfId="0" applyAlignment="1" applyBorder="1" applyFont="1" applyNumberFormat="1">
      <alignment horizontal="center" readingOrder="0"/>
    </xf>
    <xf borderId="0" fillId="6" fontId="6" numFmtId="0" xfId="0" applyAlignment="1" applyFill="1" applyFont="1">
      <alignment horizontal="center" vertical="bottom"/>
    </xf>
    <xf borderId="0" fillId="5" fontId="6" numFmtId="165" xfId="0" applyAlignment="1" applyFont="1" applyNumberFormat="1">
      <alignment horizontal="center" vertical="bottom"/>
    </xf>
    <xf borderId="1" fillId="4" fontId="3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7" fontId="2" numFmtId="0" xfId="0" applyAlignment="1" applyBorder="1" applyFill="1" applyFon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0" fillId="7" fontId="6" numFmtId="165" xfId="0" applyAlignment="1" applyFont="1" applyNumberFormat="1">
      <alignment horizontal="center" vertical="bottom"/>
    </xf>
    <xf borderId="1" fillId="3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readingOrder="0" vertical="bottom"/>
    </xf>
    <xf borderId="1" fillId="7" fontId="6" numFmtId="165" xfId="0" applyAlignment="1" applyBorder="1" applyFont="1" applyNumberFormat="1">
      <alignment horizontal="center" vertical="bottom"/>
    </xf>
    <xf borderId="1" fillId="5" fontId="6" numFmtId="165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1" fillId="7" fontId="5" numFmtId="165" xfId="0" applyAlignment="1" applyBorder="1" applyFont="1" applyNumberFormat="1">
      <alignment horizontal="center"/>
    </xf>
    <xf borderId="0" fillId="0" fontId="9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165" xfId="0" applyFont="1" applyNumberFormat="1"/>
    <xf borderId="1" fillId="4" fontId="1" numFmtId="0" xfId="0" applyAlignment="1" applyBorder="1" applyFont="1">
      <alignment horizontal="center" readingOrder="0" vertical="bottom"/>
    </xf>
    <xf borderId="1" fillId="8" fontId="5" numFmtId="165" xfId="0" applyAlignment="1" applyBorder="1" applyFill="1" applyFont="1" applyNumberFormat="1">
      <alignment horizontal="center"/>
    </xf>
    <xf borderId="1" fillId="7" fontId="9" numFmtId="166" xfId="0" applyBorder="1" applyFont="1" applyNumberFormat="1"/>
    <xf borderId="1" fillId="0" fontId="1" numFmtId="0" xfId="0" applyAlignment="1" applyBorder="1" applyFont="1">
      <alignment horizontal="center" vertical="bottom"/>
    </xf>
    <xf borderId="1" fillId="4" fontId="1" numFmtId="164" xfId="0" applyAlignment="1" applyBorder="1" applyFont="1" applyNumberFormat="1">
      <alignment vertical="bottom"/>
    </xf>
    <xf borderId="1" fillId="5" fontId="3" numFmtId="165" xfId="0" applyAlignment="1" applyBorder="1" applyFont="1" applyNumberFormat="1">
      <alignment horizontal="center" vertical="bottom"/>
    </xf>
    <xf borderId="1" fillId="9" fontId="3" numFmtId="165" xfId="0" applyAlignment="1" applyBorder="1" applyFill="1" applyFont="1" applyNumberFormat="1">
      <alignment horizontal="center" vertical="bottom"/>
    </xf>
    <xf borderId="1" fillId="10" fontId="3" numFmtId="165" xfId="0" applyAlignment="1" applyBorder="1" applyFill="1" applyFont="1" applyNumberFormat="1">
      <alignment horizontal="center" vertical="bottom"/>
    </xf>
    <xf borderId="1" fillId="5" fontId="3" numFmtId="165" xfId="0" applyAlignment="1" applyBorder="1" applyFont="1" applyNumberFormat="1">
      <alignment horizontal="right" vertical="bottom"/>
    </xf>
    <xf borderId="1" fillId="6" fontId="3" numFmtId="0" xfId="0" applyAlignment="1" applyBorder="1" applyFont="1">
      <alignment horizontal="center" vertical="bottom"/>
    </xf>
    <xf borderId="2" fillId="11" fontId="1" numFmtId="0" xfId="0" applyAlignment="1" applyBorder="1" applyFill="1" applyFont="1">
      <alignment horizontal="center" vertical="bottom"/>
    </xf>
    <xf borderId="3" fillId="0" fontId="10" numFmtId="0" xfId="0" applyBorder="1" applyFont="1"/>
    <xf borderId="1" fillId="4" fontId="1" numFmtId="9" xfId="0" applyAlignment="1" applyBorder="1" applyFont="1" applyNumberFormat="1">
      <alignment vertical="bottom"/>
    </xf>
    <xf borderId="1" fillId="12" fontId="11" numFmtId="9" xfId="0" applyAlignment="1" applyBorder="1" applyFill="1" applyFont="1" applyNumberFormat="1">
      <alignment horizontal="center" vertical="bottom"/>
    </xf>
    <xf borderId="1" fillId="13" fontId="11" numFmtId="10" xfId="0" applyAlignment="1" applyBorder="1" applyFill="1" applyFont="1" applyNumberFormat="1">
      <alignment horizontal="center" vertical="bottom"/>
    </xf>
    <xf borderId="0" fillId="7" fontId="12" numFmtId="0" xfId="0" applyAlignment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readingOrder="0" vertical="bottom"/>
    </xf>
    <xf borderId="1" fillId="0" fontId="13" numFmtId="165" xfId="0" applyAlignment="1" applyBorder="1" applyFont="1" applyNumberFormat="1">
      <alignment horizontal="center" readingOrder="0" vertical="bottom"/>
    </xf>
    <xf borderId="1" fillId="0" fontId="13" numFmtId="167" xfId="0" applyAlignment="1" applyBorder="1" applyFont="1" applyNumberFormat="1">
      <alignment horizontal="center" readingOrder="0" vertical="bottom"/>
    </xf>
    <xf borderId="1" fillId="0" fontId="13" numFmtId="164" xfId="0" applyAlignment="1" applyBorder="1" applyFont="1" applyNumberFormat="1">
      <alignment horizontal="center" readingOrder="0" vertical="bottom"/>
    </xf>
    <xf borderId="1" fillId="3" fontId="13" numFmtId="0" xfId="0" applyAlignment="1" applyBorder="1" applyFont="1">
      <alignment horizontal="center" readingOrder="0" vertical="bottom"/>
    </xf>
    <xf borderId="1" fillId="3" fontId="13" numFmtId="165" xfId="0" applyAlignment="1" applyBorder="1" applyFont="1" applyNumberFormat="1">
      <alignment horizontal="center" readingOrder="0" vertical="bottom"/>
    </xf>
    <xf borderId="1" fillId="3" fontId="13" numFmtId="164" xfId="0" applyAlignment="1" applyBorder="1" applyFont="1" applyNumberFormat="1">
      <alignment horizontal="center" readingOrder="0" vertical="bottom"/>
    </xf>
    <xf borderId="1" fillId="3" fontId="13" numFmtId="167" xfId="0" applyAlignment="1" applyBorder="1" applyFont="1" applyNumberFormat="1">
      <alignment horizontal="center" readingOrder="0" vertical="bottom"/>
    </xf>
    <xf borderId="1" fillId="3" fontId="14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9" fontId="6" numFmtId="165" xfId="0" applyAlignment="1" applyBorder="1" applyFont="1" applyNumberFormat="1">
      <alignment horizontal="center" vertical="bottom"/>
    </xf>
    <xf borderId="1" fillId="5" fontId="13" numFmtId="165" xfId="0" applyAlignment="1" applyBorder="1" applyFont="1" applyNumberFormat="1">
      <alignment horizontal="center" vertical="bottom"/>
    </xf>
    <xf borderId="0" fillId="5" fontId="15" numFmtId="0" xfId="0" applyAlignment="1" applyFont="1">
      <alignment horizontal="center" vertical="bottom"/>
    </xf>
    <xf borderId="1" fillId="5" fontId="15" numFmtId="0" xfId="0" applyAlignment="1" applyBorder="1" applyFont="1">
      <alignment horizontal="center" vertical="bottom"/>
    </xf>
    <xf borderId="1" fillId="5" fontId="15" numFmtId="0" xfId="0" applyAlignment="1" applyBorder="1" applyFont="1">
      <alignment horizontal="center" readingOrder="0" vertical="bottom"/>
    </xf>
    <xf borderId="1" fillId="7" fontId="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readingOrder="0" vertical="bottom"/>
    </xf>
    <xf borderId="1" fillId="4" fontId="16" numFmtId="0" xfId="0" applyAlignment="1" applyBorder="1" applyFont="1">
      <alignment horizontal="right" readingOrder="0" vertical="bottom"/>
    </xf>
    <xf borderId="1" fillId="7" fontId="16" numFmtId="0" xfId="0" applyAlignment="1" applyBorder="1" applyFont="1">
      <alignment horizontal="right" readingOrder="0" vertical="bottom"/>
    </xf>
    <xf borderId="1" fillId="3" fontId="16" numFmtId="0" xfId="0" applyAlignment="1" applyBorder="1" applyFont="1">
      <alignment horizontal="right" readingOrder="0" vertical="bottom"/>
    </xf>
    <xf borderId="1" fillId="0" fontId="16" numFmtId="0" xfId="0" applyAlignment="1" applyBorder="1" applyFont="1">
      <alignment horizontal="right" readingOrder="0" vertical="bottom"/>
    </xf>
    <xf borderId="1" fillId="0" fontId="17" numFmtId="0" xfId="0" applyAlignment="1" applyBorder="1" applyFont="1">
      <alignment readingOrder="0"/>
    </xf>
    <xf borderId="1" fillId="0" fontId="9" numFmtId="0" xfId="0" applyBorder="1" applyFont="1"/>
    <xf borderId="0" fillId="7" fontId="14" numFmtId="0" xfId="0" applyAlignment="1" applyFont="1">
      <alignment horizontal="center" vertical="bottom"/>
    </xf>
    <xf borderId="1" fillId="7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7" fontId="18" numFmtId="0" xfId="0" applyAlignment="1" applyBorder="1" applyFont="1">
      <alignment horizontal="center" vertical="bottom"/>
    </xf>
    <xf borderId="1" fillId="7" fontId="18" numFmtId="165" xfId="0" applyAlignment="1" applyBorder="1" applyFont="1" applyNumberFormat="1">
      <alignment horizontal="center" vertical="bottom"/>
    </xf>
    <xf borderId="1" fillId="7" fontId="18" numFmtId="165" xfId="0" applyAlignment="1" applyBorder="1" applyFont="1" applyNumberFormat="1">
      <alignment horizontal="center" readingOrder="0" vertical="bottom"/>
    </xf>
    <xf borderId="1" fillId="0" fontId="13" numFmtId="0" xfId="0" applyAlignment="1" applyBorder="1" applyFont="1">
      <alignment horizontal="center" vertical="bottom"/>
    </xf>
    <xf borderId="1" fillId="0" fontId="13" numFmtId="165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readingOrder="0" vertical="bottom"/>
    </xf>
    <xf borderId="1" fillId="7" fontId="19" numFmtId="0" xfId="0" applyAlignment="1" applyBorder="1" applyFont="1">
      <alignment horizontal="center" vertical="bottom"/>
    </xf>
    <xf borderId="1" fillId="7" fontId="19" numFmtId="165" xfId="0" applyAlignment="1" applyBorder="1" applyFont="1" applyNumberFormat="1">
      <alignment horizontal="center" vertical="bottom"/>
    </xf>
    <xf borderId="0" fillId="9" fontId="19" numFmtId="165" xfId="0" applyAlignment="1" applyFont="1" applyNumberFormat="1">
      <alignment horizontal="center" vertical="bottom"/>
    </xf>
    <xf borderId="1" fillId="5" fontId="1" numFmtId="0" xfId="0" applyAlignment="1" applyBorder="1" applyFont="1">
      <alignment vertical="bottom"/>
    </xf>
    <xf borderId="1" fillId="5" fontId="19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2.38"/>
    <col customWidth="1" min="10" max="10" width="11.0"/>
    <col customWidth="1" min="11" max="11" width="4.5"/>
    <col customWidth="1" min="14" max="14" width="18.38"/>
    <col customWidth="1" min="15" max="15" width="15.38"/>
    <col customWidth="1" min="16" max="16" width="5.0"/>
    <col customWidth="1" min="17" max="17" width="32.0"/>
  </cols>
  <sheetData>
    <row r="1">
      <c r="A1" s="1">
        <v>5.0</v>
      </c>
      <c r="B1" s="2" t="s">
        <v>0</v>
      </c>
      <c r="C1" s="3" t="s">
        <v>1</v>
      </c>
      <c r="D1" s="4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5" t="s">
        <v>8</v>
      </c>
      <c r="L1" s="6" t="s">
        <v>9</v>
      </c>
      <c r="M1" s="6" t="s">
        <v>10</v>
      </c>
    </row>
    <row r="2">
      <c r="A2" s="7" t="s">
        <v>11</v>
      </c>
      <c r="B2" s="8">
        <v>44166.0</v>
      </c>
      <c r="C2" s="9">
        <v>53000.0</v>
      </c>
      <c r="D2" s="10">
        <v>23000.0</v>
      </c>
      <c r="E2" s="11">
        <v>26000.0</v>
      </c>
      <c r="F2" s="12"/>
      <c r="G2" s="12"/>
      <c r="H2" s="12"/>
      <c r="I2" s="12"/>
      <c r="J2" s="13">
        <v>1.0</v>
      </c>
      <c r="L2" s="14">
        <v>23000.0</v>
      </c>
      <c r="M2" s="15">
        <v>53000.0</v>
      </c>
      <c r="N2" s="16" t="s">
        <v>12</v>
      </c>
    </row>
    <row r="3">
      <c r="A3" s="7" t="s">
        <v>13</v>
      </c>
      <c r="B3" s="8">
        <v>44167.0</v>
      </c>
      <c r="C3" s="9">
        <v>0.0</v>
      </c>
      <c r="D3" s="10">
        <v>20000.0</v>
      </c>
      <c r="E3" s="11">
        <v>29000.0</v>
      </c>
      <c r="F3" s="12"/>
      <c r="G3" s="12"/>
      <c r="H3" s="12"/>
      <c r="I3" s="12"/>
      <c r="J3" s="13">
        <v>1.0</v>
      </c>
      <c r="L3" s="14">
        <v>20000.0</v>
      </c>
      <c r="M3" s="15">
        <v>0.0</v>
      </c>
      <c r="N3" s="17">
        <f>E33/J33</f>
        <v>37225.80645</v>
      </c>
    </row>
    <row r="4">
      <c r="A4" s="7" t="s">
        <v>14</v>
      </c>
      <c r="B4" s="8">
        <v>44168.0</v>
      </c>
      <c r="C4" s="9">
        <v>20000.0</v>
      </c>
      <c r="D4" s="10">
        <v>22000.0</v>
      </c>
      <c r="E4" s="11">
        <v>57000.0</v>
      </c>
      <c r="F4" s="18"/>
      <c r="G4" s="18"/>
      <c r="H4" s="18"/>
      <c r="I4" s="18"/>
      <c r="J4" s="13">
        <v>1.0</v>
      </c>
      <c r="L4" s="14">
        <v>22000.0</v>
      </c>
      <c r="M4" s="15">
        <v>20000.0</v>
      </c>
      <c r="N4" s="19"/>
    </row>
    <row r="5">
      <c r="A5" s="20" t="s">
        <v>15</v>
      </c>
      <c r="B5" s="8">
        <v>44169.0</v>
      </c>
      <c r="C5" s="21">
        <v>20000.0</v>
      </c>
      <c r="D5" s="10">
        <v>27000.0</v>
      </c>
      <c r="E5" s="22">
        <v>40000.0</v>
      </c>
      <c r="F5" s="12"/>
      <c r="G5" s="12"/>
      <c r="H5" s="12"/>
      <c r="I5" s="12"/>
      <c r="J5" s="13">
        <v>1.0</v>
      </c>
      <c r="L5" s="14">
        <v>27000.0</v>
      </c>
      <c r="M5" s="15">
        <v>20000.0</v>
      </c>
      <c r="N5" s="23">
        <v>30000.0</v>
      </c>
    </row>
    <row r="6">
      <c r="A6" s="7" t="s">
        <v>16</v>
      </c>
      <c r="B6" s="8">
        <v>44170.0</v>
      </c>
      <c r="C6" s="21">
        <v>21000.0</v>
      </c>
      <c r="D6" s="10">
        <v>37000.0</v>
      </c>
      <c r="E6" s="11">
        <v>30000.0</v>
      </c>
      <c r="F6" s="12"/>
      <c r="G6" s="12"/>
      <c r="H6" s="12"/>
      <c r="I6" s="12"/>
      <c r="J6" s="13">
        <v>1.0</v>
      </c>
      <c r="L6" s="14">
        <v>37000.0</v>
      </c>
      <c r="M6" s="15">
        <v>21000.0</v>
      </c>
    </row>
    <row r="7">
      <c r="A7" s="7" t="s">
        <v>17</v>
      </c>
      <c r="B7" s="8">
        <v>44171.0</v>
      </c>
      <c r="C7" s="21">
        <v>20000.0</v>
      </c>
      <c r="D7" s="10">
        <v>26000.0</v>
      </c>
      <c r="E7" s="11">
        <v>31000.0</v>
      </c>
      <c r="F7" s="12"/>
      <c r="G7" s="12"/>
      <c r="H7" s="12"/>
      <c r="I7" s="12"/>
      <c r="J7" s="13">
        <v>1.0</v>
      </c>
      <c r="L7" s="14">
        <v>26000.0</v>
      </c>
      <c r="M7" s="15">
        <v>20000.0</v>
      </c>
    </row>
    <row r="8">
      <c r="A8" s="7" t="s">
        <v>18</v>
      </c>
      <c r="B8" s="8">
        <v>44172.0</v>
      </c>
      <c r="C8" s="21">
        <v>34000.0</v>
      </c>
      <c r="D8" s="10">
        <v>12000.0</v>
      </c>
      <c r="E8" s="11">
        <v>22000.0</v>
      </c>
      <c r="F8" s="12"/>
      <c r="G8" s="12"/>
      <c r="H8" s="12"/>
      <c r="I8" s="12"/>
      <c r="J8" s="13">
        <v>1.0</v>
      </c>
      <c r="L8" s="14">
        <v>12000.0</v>
      </c>
      <c r="M8" s="15">
        <v>34000.0</v>
      </c>
    </row>
    <row r="9">
      <c r="A9" s="7" t="s">
        <v>11</v>
      </c>
      <c r="B9" s="8">
        <v>44173.0</v>
      </c>
      <c r="C9" s="21">
        <v>33000.0</v>
      </c>
      <c r="D9" s="10">
        <v>22000.0</v>
      </c>
      <c r="E9" s="11">
        <v>38000.0</v>
      </c>
      <c r="F9" s="12"/>
      <c r="G9" s="12"/>
      <c r="H9" s="12"/>
      <c r="I9" s="12"/>
      <c r="J9" s="13">
        <v>1.0</v>
      </c>
      <c r="L9" s="14">
        <v>22000.0</v>
      </c>
      <c r="M9" s="15">
        <v>33000.0</v>
      </c>
    </row>
    <row r="10">
      <c r="A10" s="7" t="s">
        <v>13</v>
      </c>
      <c r="B10" s="8">
        <v>44174.0</v>
      </c>
      <c r="C10" s="21">
        <v>0.0</v>
      </c>
      <c r="D10" s="10">
        <v>16000.0</v>
      </c>
      <c r="E10" s="11">
        <v>44000.0</v>
      </c>
      <c r="F10" s="12"/>
      <c r="G10" s="12"/>
      <c r="H10" s="12"/>
      <c r="I10" s="12"/>
      <c r="J10" s="13">
        <v>1.0</v>
      </c>
      <c r="L10" s="14">
        <v>16000.0</v>
      </c>
      <c r="M10" s="15">
        <v>0.0</v>
      </c>
    </row>
    <row r="11">
      <c r="A11" s="7" t="s">
        <v>14</v>
      </c>
      <c r="B11" s="8">
        <v>44175.0</v>
      </c>
      <c r="C11" s="21">
        <v>29000.0</v>
      </c>
      <c r="D11" s="10">
        <v>18000.0</v>
      </c>
      <c r="E11" s="11">
        <v>49000.0</v>
      </c>
      <c r="F11" s="18"/>
      <c r="G11" s="18"/>
      <c r="H11" s="18"/>
      <c r="I11" s="18"/>
      <c r="J11" s="13">
        <v>1.0</v>
      </c>
      <c r="L11" s="14">
        <v>18000.0</v>
      </c>
      <c r="M11" s="15">
        <v>29000.0</v>
      </c>
    </row>
    <row r="12">
      <c r="A12" s="20" t="s">
        <v>15</v>
      </c>
      <c r="B12" s="8">
        <v>44176.0</v>
      </c>
      <c r="C12" s="21">
        <v>26000.0</v>
      </c>
      <c r="D12" s="10">
        <v>24000.0</v>
      </c>
      <c r="E12" s="22">
        <v>60000.0</v>
      </c>
      <c r="F12" s="12"/>
      <c r="G12" s="12"/>
      <c r="H12" s="12"/>
      <c r="I12" s="12"/>
      <c r="J12" s="13">
        <v>1.0</v>
      </c>
      <c r="L12" s="14">
        <v>24000.0</v>
      </c>
      <c r="M12" s="15">
        <v>26000.0</v>
      </c>
    </row>
    <row r="13">
      <c r="A13" s="7" t="s">
        <v>16</v>
      </c>
      <c r="B13" s="8">
        <v>44177.0</v>
      </c>
      <c r="C13" s="21">
        <v>27000.0</v>
      </c>
      <c r="D13" s="10">
        <v>34000.0</v>
      </c>
      <c r="E13" s="11">
        <v>31000.0</v>
      </c>
      <c r="F13" s="12"/>
      <c r="G13" s="12"/>
      <c r="H13" s="12"/>
      <c r="I13" s="12"/>
      <c r="J13" s="13">
        <v>1.0</v>
      </c>
      <c r="L13" s="14">
        <v>34000.0</v>
      </c>
      <c r="M13" s="15">
        <v>27000.0</v>
      </c>
    </row>
    <row r="14">
      <c r="A14" s="7" t="s">
        <v>17</v>
      </c>
      <c r="B14" s="8">
        <v>44178.0</v>
      </c>
      <c r="C14" s="21">
        <v>29000.0</v>
      </c>
      <c r="D14" s="10">
        <v>16000.0</v>
      </c>
      <c r="E14" s="11">
        <v>27000.0</v>
      </c>
      <c r="F14" s="12"/>
      <c r="G14" s="12"/>
      <c r="H14" s="12"/>
      <c r="I14" s="12"/>
      <c r="J14" s="13">
        <v>1.0</v>
      </c>
      <c r="L14" s="14">
        <v>16000.0</v>
      </c>
      <c r="M14" s="15">
        <v>29000.0</v>
      </c>
      <c r="N14" s="24" t="s">
        <v>19</v>
      </c>
      <c r="O14" s="24" t="s">
        <v>20</v>
      </c>
      <c r="Q14" s="25" t="s">
        <v>21</v>
      </c>
    </row>
    <row r="15">
      <c r="A15" s="7" t="s">
        <v>18</v>
      </c>
      <c r="B15" s="8">
        <v>44179.0</v>
      </c>
      <c r="C15" s="21">
        <v>32000.0</v>
      </c>
      <c r="D15" s="10">
        <v>19000.0</v>
      </c>
      <c r="E15" s="11">
        <v>27000.0</v>
      </c>
      <c r="F15" s="12"/>
      <c r="G15" s="12"/>
      <c r="H15" s="12"/>
      <c r="I15" s="12"/>
      <c r="J15" s="13">
        <v>1.0</v>
      </c>
      <c r="L15" s="14">
        <v>19000.0</v>
      </c>
      <c r="M15" s="15">
        <v>32000.0</v>
      </c>
      <c r="N15" s="26">
        <f>E33+Charges!G245-O15-F33-Salaires!J23</f>
        <v>589985</v>
      </c>
      <c r="O15" s="27">
        <v>0.0</v>
      </c>
      <c r="Q15" s="28">
        <f>E33-D33</f>
        <v>416000</v>
      </c>
    </row>
    <row r="16">
      <c r="A16" s="7" t="s">
        <v>11</v>
      </c>
      <c r="B16" s="8">
        <v>44180.0</v>
      </c>
      <c r="C16" s="21">
        <v>40000.0</v>
      </c>
      <c r="D16" s="10">
        <v>17000.0</v>
      </c>
      <c r="E16" s="11">
        <v>20000.0</v>
      </c>
      <c r="F16" s="12"/>
      <c r="G16" s="12"/>
      <c r="H16" s="12"/>
      <c r="I16" s="12"/>
      <c r="J16" s="13">
        <v>1.0</v>
      </c>
      <c r="L16" s="14">
        <v>17000.0</v>
      </c>
      <c r="M16" s="15">
        <v>40000.0</v>
      </c>
      <c r="Q16" s="29" t="s">
        <v>22</v>
      </c>
    </row>
    <row r="17">
      <c r="A17" s="7" t="s">
        <v>13</v>
      </c>
      <c r="B17" s="8">
        <v>44181.0</v>
      </c>
      <c r="C17" s="21">
        <v>35000.0</v>
      </c>
      <c r="D17" s="10">
        <v>22000.0</v>
      </c>
      <c r="E17" s="11">
        <v>36000.0</v>
      </c>
      <c r="F17" s="12"/>
      <c r="G17" s="12"/>
      <c r="H17" s="12"/>
      <c r="I17" s="12"/>
      <c r="J17" s="13">
        <v>1.0</v>
      </c>
      <c r="L17" s="14">
        <v>22000.0</v>
      </c>
      <c r="M17" s="15">
        <v>35000.0</v>
      </c>
      <c r="O17" s="30"/>
      <c r="P17" s="31"/>
      <c r="Q17" s="32">
        <f>E33-C33</f>
        <v>115000</v>
      </c>
    </row>
    <row r="18">
      <c r="A18" s="7" t="s">
        <v>14</v>
      </c>
      <c r="B18" s="8">
        <v>44182.0</v>
      </c>
      <c r="C18" s="21">
        <v>33000.0</v>
      </c>
      <c r="D18" s="10">
        <v>20000.0</v>
      </c>
      <c r="E18" s="11">
        <v>55000.0</v>
      </c>
      <c r="F18" s="18"/>
      <c r="G18" s="18"/>
      <c r="H18" s="18"/>
      <c r="I18" s="18"/>
      <c r="J18" s="13">
        <v>1.0</v>
      </c>
      <c r="L18" s="14">
        <v>20000.0</v>
      </c>
      <c r="M18" s="15">
        <v>33000.0</v>
      </c>
      <c r="O18" s="30"/>
      <c r="P18" s="31"/>
    </row>
    <row r="19">
      <c r="A19" s="20" t="s">
        <v>15</v>
      </c>
      <c r="B19" s="8">
        <v>44183.0</v>
      </c>
      <c r="C19" s="21">
        <v>43000.0</v>
      </c>
      <c r="D19" s="10">
        <v>24000.0</v>
      </c>
      <c r="E19" s="22">
        <v>36000.0</v>
      </c>
      <c r="F19" s="12"/>
      <c r="G19" s="12"/>
      <c r="H19" s="12"/>
      <c r="I19" s="12"/>
      <c r="J19" s="13">
        <v>1.0</v>
      </c>
      <c r="L19" s="14">
        <v>24000.0</v>
      </c>
      <c r="M19" s="15">
        <v>43000.0</v>
      </c>
    </row>
    <row r="20">
      <c r="A20" s="7" t="s">
        <v>16</v>
      </c>
      <c r="B20" s="8">
        <v>44184.0</v>
      </c>
      <c r="C20" s="21">
        <v>32000.0</v>
      </c>
      <c r="D20" s="10">
        <v>52000.0</v>
      </c>
      <c r="E20" s="11">
        <v>33000.0</v>
      </c>
      <c r="F20" s="12"/>
      <c r="G20" s="12"/>
      <c r="H20" s="12"/>
      <c r="I20" s="12"/>
      <c r="J20" s="13">
        <v>1.0</v>
      </c>
      <c r="L20" s="14">
        <v>52000.0</v>
      </c>
      <c r="M20" s="15">
        <v>32000.0</v>
      </c>
      <c r="X20" s="33">
        <v>701900.0</v>
      </c>
    </row>
    <row r="21">
      <c r="A21" s="7" t="s">
        <v>17</v>
      </c>
      <c r="B21" s="8">
        <v>44185.0</v>
      </c>
      <c r="C21" s="21">
        <v>33000.0</v>
      </c>
      <c r="D21" s="10">
        <v>30000.0</v>
      </c>
      <c r="E21" s="11">
        <v>29000.0</v>
      </c>
      <c r="F21" s="12"/>
      <c r="G21" s="12"/>
      <c r="H21" s="12"/>
      <c r="I21" s="12"/>
      <c r="J21" s="13">
        <v>1.0</v>
      </c>
      <c r="L21" s="14">
        <v>30000.0</v>
      </c>
      <c r="M21" s="15">
        <v>33000.0</v>
      </c>
      <c r="O21" s="33"/>
      <c r="X21" s="33">
        <v>509000.0</v>
      </c>
    </row>
    <row r="22">
      <c r="A22" s="7" t="s">
        <v>18</v>
      </c>
      <c r="B22" s="8">
        <v>44186.0</v>
      </c>
      <c r="C22" s="21">
        <v>49000.0</v>
      </c>
      <c r="D22" s="10">
        <v>27000.0</v>
      </c>
      <c r="E22" s="11">
        <v>26000.0</v>
      </c>
      <c r="F22" s="12"/>
      <c r="G22" s="12"/>
      <c r="H22" s="12"/>
      <c r="I22" s="12"/>
      <c r="J22" s="13">
        <v>1.0</v>
      </c>
      <c r="L22" s="14">
        <v>27000.0</v>
      </c>
      <c r="M22" s="15">
        <v>49000.0</v>
      </c>
      <c r="N22" s="34" t="s">
        <v>23</v>
      </c>
      <c r="O22" s="33">
        <v>4000.0</v>
      </c>
      <c r="Q22" s="34" t="s">
        <v>24</v>
      </c>
      <c r="W22" s="34" t="s">
        <v>23</v>
      </c>
      <c r="X22" s="33">
        <v>4000.0</v>
      </c>
      <c r="Z22" s="34" t="s">
        <v>25</v>
      </c>
    </row>
    <row r="23">
      <c r="A23" s="7" t="s">
        <v>11</v>
      </c>
      <c r="B23" s="8">
        <v>44187.0</v>
      </c>
      <c r="C23" s="21">
        <v>35000.0</v>
      </c>
      <c r="D23" s="10">
        <v>19000.0</v>
      </c>
      <c r="E23" s="11">
        <v>24000.0</v>
      </c>
      <c r="F23" s="12"/>
      <c r="G23" s="12"/>
      <c r="H23" s="12"/>
      <c r="I23" s="12"/>
      <c r="J23" s="13">
        <v>1.0</v>
      </c>
      <c r="L23" s="14">
        <v>19000.0</v>
      </c>
      <c r="M23" s="15">
        <v>35000.0</v>
      </c>
      <c r="O23" s="33">
        <f>N15-O22</f>
        <v>585985</v>
      </c>
      <c r="W23" s="34" t="s">
        <v>26</v>
      </c>
      <c r="X23" s="33">
        <v>15000.0</v>
      </c>
    </row>
    <row r="24">
      <c r="A24" s="7" t="s">
        <v>13</v>
      </c>
      <c r="B24" s="8">
        <v>44188.0</v>
      </c>
      <c r="C24" s="21">
        <v>30000.0</v>
      </c>
      <c r="D24" s="10">
        <v>30000.0</v>
      </c>
      <c r="E24" s="11">
        <v>60000.0</v>
      </c>
      <c r="F24" s="12"/>
      <c r="G24" s="12"/>
      <c r="H24" s="12"/>
      <c r="I24" s="12"/>
      <c r="J24" s="13">
        <v>1.0</v>
      </c>
      <c r="L24" s="14">
        <v>30000.0</v>
      </c>
      <c r="M24" s="15">
        <v>30000.0</v>
      </c>
      <c r="O24" s="33"/>
      <c r="W24" s="34" t="s">
        <v>27</v>
      </c>
      <c r="X24" s="33">
        <v>15000.0</v>
      </c>
    </row>
    <row r="25">
      <c r="A25" s="7" t="s">
        <v>14</v>
      </c>
      <c r="B25" s="8">
        <v>44189.0</v>
      </c>
      <c r="C25" s="21">
        <v>48000.0</v>
      </c>
      <c r="D25" s="10">
        <v>29000.0</v>
      </c>
      <c r="E25" s="11">
        <v>45000.0</v>
      </c>
      <c r="F25" s="18"/>
      <c r="G25" s="18"/>
      <c r="H25" s="18"/>
      <c r="I25" s="18"/>
      <c r="J25" s="13">
        <v>1.0</v>
      </c>
      <c r="L25" s="14">
        <v>29000.0</v>
      </c>
      <c r="M25" s="15">
        <v>48000.0</v>
      </c>
      <c r="O25" s="33"/>
      <c r="W25" s="34" t="s">
        <v>28</v>
      </c>
      <c r="X25" s="33">
        <v>220000.0</v>
      </c>
    </row>
    <row r="26">
      <c r="A26" s="20" t="s">
        <v>15</v>
      </c>
      <c r="B26" s="8">
        <v>44190.0</v>
      </c>
      <c r="C26" s="21">
        <v>52000.0</v>
      </c>
      <c r="D26" s="10">
        <v>26000.0</v>
      </c>
      <c r="E26" s="22">
        <v>42000.0</v>
      </c>
      <c r="F26" s="12"/>
      <c r="G26" s="12"/>
      <c r="H26" s="12"/>
      <c r="I26" s="12"/>
      <c r="J26" s="13">
        <v>1.0</v>
      </c>
      <c r="L26" s="14">
        <v>26000.0</v>
      </c>
      <c r="M26" s="15">
        <v>52000.0</v>
      </c>
      <c r="O26" s="33"/>
      <c r="X26" s="33"/>
    </row>
    <row r="27">
      <c r="A27" s="7" t="s">
        <v>16</v>
      </c>
      <c r="B27" s="8">
        <v>44191.0</v>
      </c>
      <c r="C27" s="21">
        <v>55000.0</v>
      </c>
      <c r="D27" s="10">
        <v>30000.0</v>
      </c>
      <c r="E27" s="11">
        <v>32000.0</v>
      </c>
      <c r="F27" s="12"/>
      <c r="G27" s="12"/>
      <c r="H27" s="12"/>
      <c r="I27" s="12"/>
      <c r="J27" s="13">
        <v>1.0</v>
      </c>
      <c r="L27" s="14">
        <v>30000.0</v>
      </c>
      <c r="M27" s="15">
        <v>55000.0</v>
      </c>
      <c r="W27" s="34" t="s">
        <v>29</v>
      </c>
      <c r="X27" s="35">
        <f>X20-X21-X22-X23-X24-X25-X26</f>
        <v>-61100</v>
      </c>
    </row>
    <row r="28">
      <c r="A28" s="7" t="s">
        <v>17</v>
      </c>
      <c r="B28" s="8">
        <v>44192.0</v>
      </c>
      <c r="C28" s="21">
        <v>66000.0</v>
      </c>
      <c r="D28" s="10">
        <v>20000.0</v>
      </c>
      <c r="E28" s="11">
        <v>29000.0</v>
      </c>
      <c r="F28" s="12"/>
      <c r="G28" s="12"/>
      <c r="H28" s="12"/>
      <c r="I28" s="12"/>
      <c r="J28" s="13">
        <v>1.0</v>
      </c>
      <c r="L28" s="14">
        <v>20000.0</v>
      </c>
      <c r="M28" s="15">
        <v>66000.0</v>
      </c>
    </row>
    <row r="29">
      <c r="A29" s="7" t="s">
        <v>18</v>
      </c>
      <c r="B29" s="8">
        <v>44193.0</v>
      </c>
      <c r="C29" s="21">
        <v>80000.0</v>
      </c>
      <c r="D29" s="10">
        <v>28000.0</v>
      </c>
      <c r="E29" s="11">
        <v>35000.0</v>
      </c>
      <c r="F29" s="12"/>
      <c r="G29" s="12"/>
      <c r="H29" s="12"/>
      <c r="I29" s="12"/>
      <c r="J29" s="13">
        <v>1.0</v>
      </c>
      <c r="L29" s="14">
        <v>28000.0</v>
      </c>
      <c r="M29" s="15">
        <v>80000.0</v>
      </c>
    </row>
    <row r="30">
      <c r="A30" s="7" t="s">
        <v>11</v>
      </c>
      <c r="B30" s="8">
        <v>44194.0</v>
      </c>
      <c r="C30" s="21">
        <v>40000.0</v>
      </c>
      <c r="D30" s="10">
        <v>24000.0</v>
      </c>
      <c r="E30" s="11">
        <v>44000.0</v>
      </c>
      <c r="F30" s="12"/>
      <c r="G30" s="12"/>
      <c r="H30" s="12"/>
      <c r="I30" s="12"/>
      <c r="J30" s="13">
        <v>1.0</v>
      </c>
      <c r="L30" s="14">
        <v>24000.0</v>
      </c>
      <c r="M30" s="15">
        <v>40000.0</v>
      </c>
    </row>
    <row r="31">
      <c r="A31" s="7" t="s">
        <v>13</v>
      </c>
      <c r="B31" s="8">
        <v>44195.0</v>
      </c>
      <c r="C31" s="21">
        <v>24000.0</v>
      </c>
      <c r="D31" s="10">
        <v>24000.0</v>
      </c>
      <c r="E31" s="11">
        <v>42000.0</v>
      </c>
      <c r="F31" s="12"/>
      <c r="G31" s="12"/>
      <c r="H31" s="12"/>
      <c r="I31" s="12"/>
      <c r="J31" s="13">
        <v>1.0</v>
      </c>
      <c r="L31" s="14">
        <v>24000.0</v>
      </c>
      <c r="M31" s="15">
        <v>24000.0</v>
      </c>
    </row>
    <row r="32">
      <c r="A32" s="7" t="s">
        <v>14</v>
      </c>
      <c r="B32" s="8">
        <v>44196.0</v>
      </c>
      <c r="C32" s="21">
        <v>0.0</v>
      </c>
      <c r="D32" s="10">
        <v>0.0</v>
      </c>
      <c r="E32" s="11">
        <v>55000.0</v>
      </c>
      <c r="F32" s="12"/>
      <c r="G32" s="12"/>
      <c r="H32" s="12"/>
      <c r="I32" s="12"/>
      <c r="J32" s="36">
        <v>1.0</v>
      </c>
      <c r="L32" s="37">
        <f t="shared" ref="L32:M32" si="1">SUM(L2:L31)</f>
        <v>738000</v>
      </c>
      <c r="M32" s="38">
        <f t="shared" si="1"/>
        <v>1039000</v>
      </c>
    </row>
    <row r="33">
      <c r="A33" s="39" t="s">
        <v>30</v>
      </c>
      <c r="B33" s="40"/>
      <c r="C33" s="41">
        <f t="shared" ref="C33:E33" si="2">SUM(C2:C32)</f>
        <v>1039000</v>
      </c>
      <c r="D33" s="41">
        <f t="shared" si="2"/>
        <v>738000</v>
      </c>
      <c r="E33" s="28">
        <f t="shared" si="2"/>
        <v>1154000</v>
      </c>
      <c r="F33" s="42">
        <f>Charges!G244*1</f>
        <v>397815</v>
      </c>
      <c r="G33" s="43">
        <f>Salaires!I23*1</f>
        <v>206708</v>
      </c>
      <c r="H33" s="9">
        <v>77000.0</v>
      </c>
      <c r="I33" s="44">
        <f>E33+Charges!G245-F33-G33-H33</f>
        <v>512477</v>
      </c>
      <c r="J33" s="45">
        <f>SUM(J2:J32)</f>
        <v>31</v>
      </c>
    </row>
    <row r="34">
      <c r="A34" s="46" t="s">
        <v>31</v>
      </c>
      <c r="B34" s="47"/>
      <c r="C34" s="48"/>
      <c r="D34" s="48"/>
      <c r="E34" s="49">
        <v>1.0</v>
      </c>
      <c r="F34" s="50">
        <f>F33/E33</f>
        <v>0.3447270364</v>
      </c>
      <c r="G34" s="50">
        <f>G33/E33</f>
        <v>0.1791230503</v>
      </c>
      <c r="H34" s="50">
        <f>H33/E33</f>
        <v>0.06672443674</v>
      </c>
      <c r="I34" s="50">
        <f>I33/E33</f>
        <v>0.4440875217</v>
      </c>
      <c r="J34" s="19"/>
    </row>
    <row r="36">
      <c r="E36" s="33">
        <v>738000.0</v>
      </c>
      <c r="F36" s="33">
        <v>272000.0</v>
      </c>
      <c r="G36" s="33">
        <v>189000.0</v>
      </c>
      <c r="H36" s="35"/>
      <c r="I36" s="33">
        <v>240000.0</v>
      </c>
    </row>
    <row r="37">
      <c r="E37" s="33">
        <v>1039000.0</v>
      </c>
      <c r="F37" s="33">
        <v>356000.0</v>
      </c>
      <c r="G37" s="33">
        <v>210000.0</v>
      </c>
      <c r="H37" s="35"/>
      <c r="I37" s="33">
        <v>435000.0</v>
      </c>
    </row>
  </sheetData>
  <mergeCells count="1">
    <mergeCell ref="A34:B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0.88"/>
    <col customWidth="1" min="6" max="6" width="26.25"/>
    <col customWidth="1" min="7" max="7" width="18.5"/>
    <col customWidth="1" min="8" max="8" width="23.63"/>
  </cols>
  <sheetData>
    <row r="4">
      <c r="E4" s="51" t="s">
        <v>32</v>
      </c>
      <c r="F4" s="52" t="s">
        <v>33</v>
      </c>
      <c r="G4" s="52" t="s">
        <v>34</v>
      </c>
      <c r="H4" s="52" t="s">
        <v>35</v>
      </c>
    </row>
    <row r="5">
      <c r="E5" s="53" t="s">
        <v>36</v>
      </c>
      <c r="F5" s="53" t="s">
        <v>37</v>
      </c>
      <c r="G5" s="54">
        <v>3000.0</v>
      </c>
      <c r="H5" s="55">
        <v>44166.0</v>
      </c>
    </row>
    <row r="6">
      <c r="E6" s="53" t="s">
        <v>38</v>
      </c>
      <c r="F6" s="53" t="s">
        <v>39</v>
      </c>
      <c r="G6" s="54">
        <v>400.0</v>
      </c>
      <c r="H6" s="56">
        <v>44166.0</v>
      </c>
    </row>
    <row r="7">
      <c r="E7" s="53" t="s">
        <v>40</v>
      </c>
      <c r="F7" s="53" t="s">
        <v>41</v>
      </c>
      <c r="G7" s="54">
        <v>2400.0</v>
      </c>
      <c r="H7" s="56">
        <v>44166.0</v>
      </c>
    </row>
    <row r="8">
      <c r="E8" s="53" t="s">
        <v>42</v>
      </c>
      <c r="F8" s="53" t="s">
        <v>43</v>
      </c>
      <c r="G8" s="54">
        <v>2900.0</v>
      </c>
      <c r="H8" s="56">
        <v>44166.0</v>
      </c>
    </row>
    <row r="9">
      <c r="E9" s="53" t="s">
        <v>44</v>
      </c>
      <c r="F9" s="53" t="s">
        <v>45</v>
      </c>
      <c r="G9" s="54">
        <v>2800.0</v>
      </c>
      <c r="H9" s="56">
        <v>44166.0</v>
      </c>
    </row>
    <row r="10">
      <c r="E10" s="53" t="s">
        <v>46</v>
      </c>
      <c r="F10" s="53" t="s">
        <v>47</v>
      </c>
      <c r="G10" s="54">
        <v>2760.0</v>
      </c>
      <c r="H10" s="56">
        <v>44166.0</v>
      </c>
    </row>
    <row r="11">
      <c r="E11" s="53" t="s">
        <v>48</v>
      </c>
      <c r="F11" s="53" t="s">
        <v>49</v>
      </c>
      <c r="G11" s="54">
        <v>660.0</v>
      </c>
      <c r="H11" s="56">
        <v>44166.0</v>
      </c>
    </row>
    <row r="12">
      <c r="E12" s="53" t="s">
        <v>50</v>
      </c>
      <c r="F12" s="53" t="s">
        <v>39</v>
      </c>
      <c r="G12" s="54">
        <v>700.0</v>
      </c>
      <c r="H12" s="56">
        <v>44166.0</v>
      </c>
    </row>
    <row r="13">
      <c r="E13" s="53" t="s">
        <v>51</v>
      </c>
      <c r="F13" s="53" t="s">
        <v>52</v>
      </c>
      <c r="G13" s="54">
        <v>10400.0</v>
      </c>
      <c r="H13" s="56">
        <v>44166.0</v>
      </c>
    </row>
    <row r="14">
      <c r="E14" s="53" t="s">
        <v>53</v>
      </c>
      <c r="F14" s="53">
        <v>6.0</v>
      </c>
      <c r="G14" s="54">
        <v>2700.0</v>
      </c>
      <c r="H14" s="56">
        <v>44166.0</v>
      </c>
    </row>
    <row r="15">
      <c r="E15" s="53" t="s">
        <v>54</v>
      </c>
      <c r="F15" s="53" t="s">
        <v>55</v>
      </c>
      <c r="G15" s="54">
        <v>1650.0</v>
      </c>
      <c r="H15" s="56">
        <v>44166.0</v>
      </c>
    </row>
    <row r="16">
      <c r="E16" s="53" t="s">
        <v>56</v>
      </c>
      <c r="F16" s="53" t="s">
        <v>57</v>
      </c>
      <c r="G16" s="54">
        <v>700.0</v>
      </c>
      <c r="H16" s="56">
        <v>44166.0</v>
      </c>
    </row>
    <row r="17">
      <c r="E17" s="53" t="s">
        <v>58</v>
      </c>
      <c r="F17" s="53" t="s">
        <v>59</v>
      </c>
      <c r="G17" s="54">
        <v>400.0</v>
      </c>
      <c r="H17" s="56">
        <v>44166.0</v>
      </c>
    </row>
    <row r="18">
      <c r="E18" s="53" t="s">
        <v>60</v>
      </c>
      <c r="F18" s="53" t="s">
        <v>61</v>
      </c>
      <c r="G18" s="54">
        <v>500.0</v>
      </c>
      <c r="H18" s="56">
        <v>44166.0</v>
      </c>
    </row>
    <row r="19">
      <c r="E19" s="53" t="s">
        <v>62</v>
      </c>
      <c r="F19" s="53" t="s">
        <v>61</v>
      </c>
      <c r="G19" s="54">
        <v>3200.0</v>
      </c>
      <c r="H19" s="56">
        <v>44166.0</v>
      </c>
    </row>
    <row r="20">
      <c r="E20" s="53" t="s">
        <v>63</v>
      </c>
      <c r="F20" s="53" t="s">
        <v>64</v>
      </c>
      <c r="G20" s="54">
        <v>330.0</v>
      </c>
      <c r="H20" s="56">
        <v>44166.0</v>
      </c>
    </row>
    <row r="21">
      <c r="E21" s="53" t="s">
        <v>65</v>
      </c>
      <c r="F21" s="53" t="s">
        <v>64</v>
      </c>
      <c r="G21" s="54">
        <v>1080.0</v>
      </c>
      <c r="H21" s="56">
        <v>44166.0</v>
      </c>
    </row>
    <row r="22">
      <c r="E22" s="53" t="s">
        <v>66</v>
      </c>
      <c r="F22" s="53" t="s">
        <v>64</v>
      </c>
      <c r="G22" s="54">
        <v>750.0</v>
      </c>
      <c r="H22" s="56">
        <v>44166.0</v>
      </c>
    </row>
    <row r="23">
      <c r="E23" s="53" t="s">
        <v>67</v>
      </c>
      <c r="F23" s="53" t="s">
        <v>68</v>
      </c>
      <c r="G23" s="54">
        <v>1800.0</v>
      </c>
      <c r="H23" s="56">
        <v>44166.0</v>
      </c>
    </row>
    <row r="24">
      <c r="E24" s="53" t="s">
        <v>46</v>
      </c>
      <c r="F24" s="53" t="s">
        <v>69</v>
      </c>
      <c r="G24" s="54">
        <v>2760.0</v>
      </c>
      <c r="H24" s="56">
        <v>44166.0</v>
      </c>
    </row>
    <row r="25">
      <c r="E25" s="53" t="s">
        <v>70</v>
      </c>
      <c r="F25" s="53" t="s">
        <v>71</v>
      </c>
      <c r="G25" s="54">
        <v>450.0</v>
      </c>
      <c r="H25" s="56">
        <v>44166.0</v>
      </c>
    </row>
    <row r="26">
      <c r="E26" s="53" t="s">
        <v>72</v>
      </c>
      <c r="F26" s="53" t="s">
        <v>73</v>
      </c>
      <c r="G26" s="54">
        <v>900.0</v>
      </c>
      <c r="H26" s="56">
        <v>44166.0</v>
      </c>
    </row>
    <row r="27">
      <c r="E27" s="53" t="s">
        <v>74</v>
      </c>
      <c r="F27" s="53">
        <v>1.0</v>
      </c>
      <c r="G27" s="54">
        <v>150.0</v>
      </c>
      <c r="H27" s="56">
        <v>44166.0</v>
      </c>
    </row>
    <row r="28">
      <c r="E28" s="53" t="s">
        <v>75</v>
      </c>
      <c r="F28" s="53">
        <v>1.0</v>
      </c>
      <c r="G28" s="54">
        <v>100.0</v>
      </c>
      <c r="H28" s="56">
        <v>44166.0</v>
      </c>
    </row>
    <row r="29">
      <c r="E29" s="53" t="s">
        <v>76</v>
      </c>
      <c r="F29" s="53" t="s">
        <v>77</v>
      </c>
      <c r="G29" s="54">
        <v>1700.0</v>
      </c>
      <c r="H29" s="56">
        <v>44166.0</v>
      </c>
    </row>
    <row r="30">
      <c r="E30" s="53" t="s">
        <v>78</v>
      </c>
      <c r="F30" s="53" t="s">
        <v>79</v>
      </c>
      <c r="G30" s="54">
        <v>1720.0</v>
      </c>
      <c r="H30" s="56">
        <v>44166.0</v>
      </c>
    </row>
    <row r="31">
      <c r="E31" s="53" t="s">
        <v>80</v>
      </c>
      <c r="F31" s="53" t="s">
        <v>77</v>
      </c>
      <c r="G31" s="54">
        <v>2200.0</v>
      </c>
      <c r="H31" s="56">
        <v>44166.0</v>
      </c>
    </row>
    <row r="32">
      <c r="E32" s="53" t="s">
        <v>81</v>
      </c>
      <c r="F32" s="53" t="s">
        <v>77</v>
      </c>
      <c r="G32" s="54">
        <v>2900.0</v>
      </c>
      <c r="H32" s="56">
        <v>44166.0</v>
      </c>
    </row>
    <row r="33">
      <c r="E33" s="53" t="s">
        <v>82</v>
      </c>
      <c r="F33" s="53" t="s">
        <v>83</v>
      </c>
      <c r="G33" s="54">
        <v>1650.0</v>
      </c>
      <c r="H33" s="56">
        <v>44166.0</v>
      </c>
    </row>
    <row r="34">
      <c r="E34" s="53" t="s">
        <v>82</v>
      </c>
      <c r="F34" s="53" t="s">
        <v>84</v>
      </c>
      <c r="G34" s="54">
        <v>1800.0</v>
      </c>
      <c r="H34" s="56">
        <v>44166.0</v>
      </c>
    </row>
    <row r="35">
      <c r="E35" s="53" t="s">
        <v>85</v>
      </c>
      <c r="F35" s="53" t="s">
        <v>86</v>
      </c>
      <c r="G35" s="54">
        <v>9800.0</v>
      </c>
      <c r="H35" s="56">
        <v>44166.0</v>
      </c>
    </row>
    <row r="36">
      <c r="E36" s="53" t="s">
        <v>87</v>
      </c>
      <c r="F36" s="53" t="s">
        <v>88</v>
      </c>
      <c r="G36" s="54">
        <v>9450.0</v>
      </c>
      <c r="H36" s="56">
        <v>44166.0</v>
      </c>
    </row>
    <row r="37">
      <c r="E37" s="53" t="s">
        <v>89</v>
      </c>
      <c r="F37" s="53" t="s">
        <v>37</v>
      </c>
      <c r="G37" s="54">
        <v>900.0</v>
      </c>
      <c r="H37" s="56">
        <v>44166.0</v>
      </c>
    </row>
    <row r="38">
      <c r="E38" s="53" t="s">
        <v>90</v>
      </c>
      <c r="F38" s="53">
        <v>1.0</v>
      </c>
      <c r="G38" s="54">
        <v>500.0</v>
      </c>
      <c r="H38" s="56">
        <v>44166.0</v>
      </c>
    </row>
    <row r="39">
      <c r="E39" s="53" t="s">
        <v>91</v>
      </c>
      <c r="F39" s="53" t="s">
        <v>92</v>
      </c>
      <c r="G39" s="54">
        <v>3000.0</v>
      </c>
      <c r="H39" s="56">
        <v>44166.0</v>
      </c>
    </row>
    <row r="40">
      <c r="E40" s="53" t="s">
        <v>93</v>
      </c>
      <c r="F40" s="53" t="s">
        <v>94</v>
      </c>
      <c r="G40" s="54">
        <v>4200.0</v>
      </c>
      <c r="H40" s="56">
        <v>44166.0</v>
      </c>
    </row>
    <row r="41">
      <c r="E41" s="57" t="s">
        <v>95</v>
      </c>
      <c r="F41" s="57" t="s">
        <v>96</v>
      </c>
      <c r="G41" s="58">
        <v>4500.0</v>
      </c>
      <c r="H41" s="59">
        <v>44166.0</v>
      </c>
    </row>
    <row r="42">
      <c r="E42" s="53" t="s">
        <v>97</v>
      </c>
      <c r="F42" s="53" t="s">
        <v>98</v>
      </c>
      <c r="G42" s="54">
        <v>120.0</v>
      </c>
      <c r="H42" s="56">
        <v>44166.0</v>
      </c>
    </row>
    <row r="43">
      <c r="E43" s="53" t="s">
        <v>99</v>
      </c>
      <c r="F43" s="53" t="s">
        <v>100</v>
      </c>
      <c r="G43" s="54">
        <v>550.0</v>
      </c>
      <c r="H43" s="56">
        <v>44166.0</v>
      </c>
    </row>
    <row r="44">
      <c r="E44" s="53" t="s">
        <v>101</v>
      </c>
      <c r="F44" s="53">
        <v>10.0</v>
      </c>
      <c r="G44" s="54">
        <v>150.0</v>
      </c>
      <c r="H44" s="56">
        <v>44166.0</v>
      </c>
    </row>
    <row r="45">
      <c r="E45" s="53" t="s">
        <v>102</v>
      </c>
      <c r="F45" s="53" t="s">
        <v>61</v>
      </c>
      <c r="G45" s="54">
        <v>300.0</v>
      </c>
      <c r="H45" s="56">
        <v>44166.0</v>
      </c>
    </row>
    <row r="46">
      <c r="E46" s="53" t="s">
        <v>103</v>
      </c>
      <c r="F46" s="53">
        <v>10.0</v>
      </c>
      <c r="G46" s="54">
        <v>200.0</v>
      </c>
      <c r="H46" s="56">
        <v>44166.0</v>
      </c>
    </row>
    <row r="47">
      <c r="E47" s="53" t="s">
        <v>104</v>
      </c>
      <c r="F47" s="53" t="s">
        <v>105</v>
      </c>
      <c r="G47" s="54">
        <v>700.0</v>
      </c>
      <c r="H47" s="56">
        <v>44166.0</v>
      </c>
    </row>
    <row r="48">
      <c r="E48" s="53" t="s">
        <v>90</v>
      </c>
      <c r="F48" s="53">
        <v>1.0</v>
      </c>
      <c r="G48" s="54">
        <v>500.0</v>
      </c>
      <c r="H48" s="56">
        <v>44166.0</v>
      </c>
    </row>
    <row r="49">
      <c r="E49" s="53" t="s">
        <v>91</v>
      </c>
      <c r="F49" s="53" t="s">
        <v>106</v>
      </c>
      <c r="G49" s="54">
        <v>1000.0</v>
      </c>
      <c r="H49" s="56">
        <v>44167.0</v>
      </c>
    </row>
    <row r="50">
      <c r="E50" s="53" t="s">
        <v>62</v>
      </c>
      <c r="F50" s="53" t="s">
        <v>107</v>
      </c>
      <c r="G50" s="54">
        <v>4000.0</v>
      </c>
      <c r="H50" s="56">
        <v>44167.0</v>
      </c>
    </row>
    <row r="51">
      <c r="E51" s="53" t="s">
        <v>101</v>
      </c>
      <c r="F51" s="53" t="s">
        <v>108</v>
      </c>
      <c r="G51" s="54">
        <v>750.0</v>
      </c>
      <c r="H51" s="56">
        <v>44167.0</v>
      </c>
    </row>
    <row r="52">
      <c r="E52" s="53" t="s">
        <v>109</v>
      </c>
      <c r="F52" s="53" t="s">
        <v>110</v>
      </c>
      <c r="G52" s="54">
        <v>240.0</v>
      </c>
      <c r="H52" s="56">
        <v>44167.0</v>
      </c>
    </row>
    <row r="53">
      <c r="E53" s="53" t="s">
        <v>99</v>
      </c>
      <c r="F53" s="53" t="s">
        <v>111</v>
      </c>
      <c r="G53" s="54">
        <v>800.0</v>
      </c>
      <c r="H53" s="56">
        <v>44167.0</v>
      </c>
    </row>
    <row r="54">
      <c r="E54" s="53" t="s">
        <v>93</v>
      </c>
      <c r="F54" s="53" t="s">
        <v>112</v>
      </c>
      <c r="G54" s="54">
        <v>4600.0</v>
      </c>
      <c r="H54" s="56">
        <v>44168.0</v>
      </c>
    </row>
    <row r="55">
      <c r="E55" s="53" t="s">
        <v>54</v>
      </c>
      <c r="F55" s="53" t="s">
        <v>113</v>
      </c>
      <c r="G55" s="54">
        <v>17000.0</v>
      </c>
      <c r="H55" s="56">
        <v>44168.0</v>
      </c>
    </row>
    <row r="56">
      <c r="E56" s="53" t="s">
        <v>114</v>
      </c>
      <c r="F56" s="53">
        <v>7.0</v>
      </c>
      <c r="G56" s="54">
        <v>500.0</v>
      </c>
      <c r="H56" s="56">
        <v>44168.0</v>
      </c>
    </row>
    <row r="57">
      <c r="E57" s="53" t="s">
        <v>115</v>
      </c>
      <c r="F57" s="53">
        <v>5.0</v>
      </c>
      <c r="G57" s="54">
        <v>600.0</v>
      </c>
      <c r="H57" s="56">
        <v>44168.0</v>
      </c>
    </row>
    <row r="58">
      <c r="E58" s="53" t="s">
        <v>91</v>
      </c>
      <c r="F58" s="53" t="s">
        <v>37</v>
      </c>
      <c r="G58" s="54">
        <v>2000.0</v>
      </c>
      <c r="H58" s="56">
        <v>44168.0</v>
      </c>
    </row>
    <row r="59">
      <c r="E59" s="53" t="s">
        <v>116</v>
      </c>
      <c r="F59" s="53">
        <v>2.0</v>
      </c>
      <c r="G59" s="54">
        <v>1500.0</v>
      </c>
      <c r="H59" s="56">
        <v>44168.0</v>
      </c>
    </row>
    <row r="60">
      <c r="E60" s="53" t="s">
        <v>117</v>
      </c>
      <c r="F60" s="53">
        <v>2.0</v>
      </c>
      <c r="G60" s="54">
        <v>2800.0</v>
      </c>
      <c r="H60" s="56">
        <v>44168.0</v>
      </c>
    </row>
    <row r="61">
      <c r="E61" s="53" t="s">
        <v>118</v>
      </c>
      <c r="F61" s="53">
        <v>3.0</v>
      </c>
      <c r="G61" s="54">
        <v>2500.0</v>
      </c>
      <c r="H61" s="56">
        <v>44169.0</v>
      </c>
    </row>
    <row r="62">
      <c r="E62" s="53" t="s">
        <v>51</v>
      </c>
      <c r="F62" s="53" t="s">
        <v>52</v>
      </c>
      <c r="G62" s="54">
        <v>10400.0</v>
      </c>
      <c r="H62" s="56">
        <v>44170.0</v>
      </c>
    </row>
    <row r="63">
      <c r="E63" s="53" t="s">
        <v>119</v>
      </c>
      <c r="F63" s="53" t="s">
        <v>120</v>
      </c>
      <c r="G63" s="54">
        <v>750.0</v>
      </c>
      <c r="H63" s="56">
        <v>44168.0</v>
      </c>
    </row>
    <row r="64">
      <c r="E64" s="53" t="s">
        <v>121</v>
      </c>
      <c r="F64" s="53" t="s">
        <v>120</v>
      </c>
      <c r="G64" s="54">
        <v>775.0</v>
      </c>
      <c r="H64" s="56">
        <v>44168.0</v>
      </c>
    </row>
    <row r="65">
      <c r="E65" s="53" t="s">
        <v>122</v>
      </c>
      <c r="F65" s="53">
        <v>1.0</v>
      </c>
      <c r="G65" s="54">
        <v>1450.0</v>
      </c>
      <c r="H65" s="56">
        <v>44168.0</v>
      </c>
    </row>
    <row r="66">
      <c r="E66" s="53" t="s">
        <v>123</v>
      </c>
      <c r="F66" s="53">
        <v>1.0</v>
      </c>
      <c r="G66" s="54">
        <v>500.0</v>
      </c>
      <c r="H66" s="56">
        <v>44168.0</v>
      </c>
    </row>
    <row r="67">
      <c r="E67" s="53" t="s">
        <v>124</v>
      </c>
      <c r="F67" s="53" t="s">
        <v>41</v>
      </c>
      <c r="G67" s="54">
        <v>960.0</v>
      </c>
      <c r="H67" s="56">
        <v>44168.0</v>
      </c>
    </row>
    <row r="68">
      <c r="E68" s="53" t="s">
        <v>125</v>
      </c>
      <c r="F68" s="53">
        <v>20.0</v>
      </c>
      <c r="G68" s="54">
        <v>1000.0</v>
      </c>
      <c r="H68" s="56">
        <v>44169.0</v>
      </c>
    </row>
    <row r="69">
      <c r="E69" s="57" t="s">
        <v>95</v>
      </c>
      <c r="F69" s="57">
        <v>90.0</v>
      </c>
      <c r="G69" s="58">
        <v>4500.0</v>
      </c>
      <c r="H69" s="59">
        <v>44169.0</v>
      </c>
    </row>
    <row r="70">
      <c r="E70" s="53" t="s">
        <v>126</v>
      </c>
      <c r="F70" s="53">
        <v>1.0</v>
      </c>
      <c r="G70" s="54">
        <v>500.0</v>
      </c>
      <c r="H70" s="56">
        <v>44171.0</v>
      </c>
    </row>
    <row r="71">
      <c r="E71" s="53" t="s">
        <v>127</v>
      </c>
      <c r="F71" s="53">
        <v>4.0</v>
      </c>
      <c r="G71" s="54">
        <v>500.0</v>
      </c>
      <c r="H71" s="56">
        <v>44171.0</v>
      </c>
    </row>
    <row r="72">
      <c r="E72" s="53" t="s">
        <v>128</v>
      </c>
      <c r="F72" s="53" t="s">
        <v>129</v>
      </c>
      <c r="G72" s="54">
        <v>1200.0</v>
      </c>
      <c r="H72" s="56">
        <v>44171.0</v>
      </c>
    </row>
    <row r="73">
      <c r="E73" s="53" t="s">
        <v>130</v>
      </c>
      <c r="F73" s="53" t="s">
        <v>131</v>
      </c>
      <c r="G73" s="54">
        <v>1860.0</v>
      </c>
      <c r="H73" s="56">
        <v>44171.0</v>
      </c>
    </row>
    <row r="74">
      <c r="E74" s="53" t="s">
        <v>46</v>
      </c>
      <c r="F74" s="53" t="s">
        <v>132</v>
      </c>
      <c r="G74" s="54">
        <v>5520.0</v>
      </c>
      <c r="H74" s="56">
        <v>44171.0</v>
      </c>
    </row>
    <row r="75">
      <c r="E75" s="53" t="s">
        <v>133</v>
      </c>
      <c r="F75" s="53">
        <v>2.0</v>
      </c>
      <c r="G75" s="54">
        <v>1130.0</v>
      </c>
      <c r="H75" s="56">
        <v>44171.0</v>
      </c>
    </row>
    <row r="76">
      <c r="E76" s="53" t="s">
        <v>44</v>
      </c>
      <c r="F76" s="53" t="s">
        <v>120</v>
      </c>
      <c r="G76" s="54">
        <v>3400.0</v>
      </c>
      <c r="H76" s="56">
        <v>44171.0</v>
      </c>
    </row>
    <row r="77">
      <c r="E77" s="53" t="s">
        <v>134</v>
      </c>
      <c r="F77" s="53" t="s">
        <v>135</v>
      </c>
      <c r="G77" s="54">
        <v>1000.0</v>
      </c>
      <c r="H77" s="56">
        <v>44171.0</v>
      </c>
    </row>
    <row r="78">
      <c r="E78" s="53" t="s">
        <v>70</v>
      </c>
      <c r="F78" s="53" t="s">
        <v>136</v>
      </c>
      <c r="G78" s="54">
        <v>350.0</v>
      </c>
      <c r="H78" s="56">
        <v>44171.0</v>
      </c>
    </row>
    <row r="79">
      <c r="E79" s="53" t="s">
        <v>137</v>
      </c>
      <c r="F79" s="53" t="s">
        <v>138</v>
      </c>
      <c r="G79" s="54">
        <v>1650.0</v>
      </c>
      <c r="H79" s="56">
        <v>44171.0</v>
      </c>
    </row>
    <row r="80">
      <c r="E80" s="53" t="s">
        <v>139</v>
      </c>
      <c r="F80" s="53">
        <v>1.0</v>
      </c>
      <c r="G80" s="54">
        <v>450.0</v>
      </c>
      <c r="H80" s="56">
        <v>44171.0</v>
      </c>
    </row>
    <row r="81">
      <c r="E81" s="53" t="s">
        <v>60</v>
      </c>
      <c r="F81" s="53" t="s">
        <v>61</v>
      </c>
      <c r="G81" s="54">
        <v>300.0</v>
      </c>
      <c r="H81" s="56">
        <v>44171.0</v>
      </c>
    </row>
    <row r="82">
      <c r="E82" s="53" t="s">
        <v>140</v>
      </c>
      <c r="F82" s="53" t="s">
        <v>106</v>
      </c>
      <c r="G82" s="54">
        <v>600.0</v>
      </c>
      <c r="H82" s="56">
        <v>44171.0</v>
      </c>
    </row>
    <row r="83">
      <c r="E83" s="53" t="s">
        <v>141</v>
      </c>
      <c r="F83" s="53">
        <v>1.0</v>
      </c>
      <c r="G83" s="54">
        <v>1000.0</v>
      </c>
      <c r="H83" s="56">
        <v>44171.0</v>
      </c>
    </row>
    <row r="84">
      <c r="E84" s="53" t="s">
        <v>142</v>
      </c>
      <c r="F84" s="53" t="s">
        <v>37</v>
      </c>
      <c r="G84" s="54">
        <v>200.0</v>
      </c>
      <c r="H84" s="56">
        <v>44171.0</v>
      </c>
    </row>
    <row r="85">
      <c r="E85" s="53" t="s">
        <v>143</v>
      </c>
      <c r="F85" s="53" t="s">
        <v>144</v>
      </c>
      <c r="G85" s="54">
        <v>2400.0</v>
      </c>
      <c r="H85" s="56">
        <v>44171.0</v>
      </c>
    </row>
    <row r="86">
      <c r="E86" s="53" t="s">
        <v>145</v>
      </c>
      <c r="F86" s="53">
        <v>10.0</v>
      </c>
      <c r="G86" s="54">
        <v>200.0</v>
      </c>
      <c r="H86" s="56">
        <v>44172.0</v>
      </c>
    </row>
    <row r="87">
      <c r="E87" s="53" t="s">
        <v>146</v>
      </c>
      <c r="F87" s="53" t="s">
        <v>59</v>
      </c>
      <c r="G87" s="54">
        <v>500.0</v>
      </c>
      <c r="H87" s="56">
        <v>44172.0</v>
      </c>
    </row>
    <row r="88">
      <c r="E88" s="53" t="s">
        <v>147</v>
      </c>
      <c r="F88" s="53">
        <v>5.0</v>
      </c>
      <c r="G88" s="54">
        <v>500.0</v>
      </c>
      <c r="H88" s="56">
        <v>44172.0</v>
      </c>
    </row>
    <row r="89">
      <c r="E89" s="53" t="s">
        <v>134</v>
      </c>
      <c r="F89" s="53">
        <v>3.0</v>
      </c>
      <c r="G89" s="54">
        <v>3000.0</v>
      </c>
      <c r="H89" s="56">
        <v>44173.0</v>
      </c>
    </row>
    <row r="90">
      <c r="E90" s="53" t="s">
        <v>148</v>
      </c>
      <c r="F90" s="53">
        <v>2.0</v>
      </c>
      <c r="G90" s="54">
        <v>1000.0</v>
      </c>
      <c r="H90" s="56">
        <v>44173.0</v>
      </c>
    </row>
    <row r="91">
      <c r="E91" s="53" t="s">
        <v>149</v>
      </c>
      <c r="F91" s="53">
        <v>2.0</v>
      </c>
      <c r="G91" s="54">
        <v>200.0</v>
      </c>
      <c r="H91" s="56">
        <v>44173.0</v>
      </c>
    </row>
    <row r="92">
      <c r="E92" s="53" t="s">
        <v>126</v>
      </c>
      <c r="F92" s="53">
        <v>1.0</v>
      </c>
      <c r="G92" s="54">
        <v>500.0</v>
      </c>
      <c r="H92" s="56">
        <v>44173.0</v>
      </c>
    </row>
    <row r="93">
      <c r="E93" s="53" t="s">
        <v>150</v>
      </c>
      <c r="F93" s="53">
        <v>1.0</v>
      </c>
      <c r="G93" s="54">
        <v>1500.0</v>
      </c>
      <c r="H93" s="56">
        <v>44169.0</v>
      </c>
    </row>
    <row r="94">
      <c r="E94" s="57" t="s">
        <v>95</v>
      </c>
      <c r="F94" s="57" t="s">
        <v>151</v>
      </c>
      <c r="G94" s="58">
        <v>8000.0</v>
      </c>
      <c r="H94" s="59">
        <v>44174.0</v>
      </c>
    </row>
    <row r="95">
      <c r="E95" s="53" t="s">
        <v>152</v>
      </c>
      <c r="F95" s="53">
        <v>2.0</v>
      </c>
      <c r="G95" s="54">
        <v>390.0</v>
      </c>
      <c r="H95" s="55">
        <v>44174.0</v>
      </c>
    </row>
    <row r="96">
      <c r="E96" s="53" t="s">
        <v>153</v>
      </c>
      <c r="F96" s="53">
        <v>3.0</v>
      </c>
      <c r="G96" s="54">
        <v>480.0</v>
      </c>
      <c r="H96" s="55">
        <v>44174.0</v>
      </c>
    </row>
    <row r="97">
      <c r="E97" s="53" t="s">
        <v>154</v>
      </c>
      <c r="F97" s="53">
        <v>1.0</v>
      </c>
      <c r="G97" s="54">
        <v>130.0</v>
      </c>
      <c r="H97" s="55">
        <v>44174.0</v>
      </c>
    </row>
    <row r="98">
      <c r="E98" s="53" t="s">
        <v>155</v>
      </c>
      <c r="F98" s="53">
        <v>2.0</v>
      </c>
      <c r="G98" s="54">
        <v>290.0</v>
      </c>
      <c r="H98" s="55">
        <v>44174.0</v>
      </c>
    </row>
    <row r="99">
      <c r="E99" s="53" t="s">
        <v>62</v>
      </c>
      <c r="F99" s="53" t="s">
        <v>107</v>
      </c>
      <c r="G99" s="54">
        <v>4000.0</v>
      </c>
      <c r="H99" s="55">
        <v>44174.0</v>
      </c>
    </row>
    <row r="100">
      <c r="E100" s="53" t="s">
        <v>156</v>
      </c>
      <c r="F100" s="53" t="s">
        <v>157</v>
      </c>
      <c r="G100" s="54">
        <v>850.0</v>
      </c>
      <c r="H100" s="55">
        <v>44174.0</v>
      </c>
    </row>
    <row r="101">
      <c r="E101" s="53" t="s">
        <v>158</v>
      </c>
      <c r="F101" s="53">
        <v>2.0</v>
      </c>
      <c r="G101" s="54">
        <v>400.0</v>
      </c>
      <c r="H101" s="55">
        <v>44174.0</v>
      </c>
    </row>
    <row r="102">
      <c r="E102" s="53" t="s">
        <v>159</v>
      </c>
      <c r="F102" s="53">
        <v>1.0</v>
      </c>
      <c r="G102" s="54">
        <v>320.0</v>
      </c>
      <c r="H102" s="55">
        <v>44174.0</v>
      </c>
    </row>
    <row r="103">
      <c r="E103" s="53" t="s">
        <v>160</v>
      </c>
      <c r="F103" s="53" t="s">
        <v>161</v>
      </c>
      <c r="G103" s="54">
        <v>230.0</v>
      </c>
      <c r="H103" s="55">
        <v>44174.0</v>
      </c>
    </row>
    <row r="104">
      <c r="E104" s="53" t="s">
        <v>162</v>
      </c>
      <c r="F104" s="53">
        <v>2.0</v>
      </c>
      <c r="G104" s="54">
        <v>1000.0</v>
      </c>
      <c r="H104" s="55">
        <v>44174.0</v>
      </c>
    </row>
    <row r="105">
      <c r="E105" s="53" t="s">
        <v>91</v>
      </c>
      <c r="F105" s="53" t="s">
        <v>106</v>
      </c>
      <c r="G105" s="54">
        <v>1000.0</v>
      </c>
      <c r="H105" s="55">
        <v>44174.0</v>
      </c>
    </row>
    <row r="106">
      <c r="E106" s="53" t="s">
        <v>147</v>
      </c>
      <c r="F106" s="53">
        <v>3.0</v>
      </c>
      <c r="G106" s="54">
        <v>500.0</v>
      </c>
      <c r="H106" s="56">
        <v>44174.0</v>
      </c>
    </row>
    <row r="107">
      <c r="E107" s="53" t="s">
        <v>97</v>
      </c>
      <c r="F107" s="53">
        <v>20.0</v>
      </c>
      <c r="G107" s="54">
        <v>250.0</v>
      </c>
      <c r="H107" s="53" t="s">
        <v>163</v>
      </c>
    </row>
    <row r="108">
      <c r="E108" s="53" t="s">
        <v>164</v>
      </c>
      <c r="F108" s="53">
        <v>25.0</v>
      </c>
      <c r="G108" s="54">
        <v>30000.0</v>
      </c>
      <c r="H108" s="55">
        <v>44175.0</v>
      </c>
    </row>
    <row r="109">
      <c r="E109" s="53" t="s">
        <v>165</v>
      </c>
      <c r="F109" s="53" t="s">
        <v>61</v>
      </c>
      <c r="G109" s="54">
        <v>1000.0</v>
      </c>
      <c r="H109" s="55">
        <v>44175.0</v>
      </c>
    </row>
    <row r="110">
      <c r="E110" s="53" t="s">
        <v>166</v>
      </c>
      <c r="F110" s="53" t="s">
        <v>39</v>
      </c>
      <c r="G110" s="54">
        <v>1500.0</v>
      </c>
      <c r="H110" s="55">
        <v>44175.0</v>
      </c>
    </row>
    <row r="111">
      <c r="E111" s="53" t="s">
        <v>167</v>
      </c>
      <c r="F111" s="53">
        <v>5.0</v>
      </c>
      <c r="G111" s="54">
        <v>400.0</v>
      </c>
      <c r="H111" s="55">
        <v>44175.0</v>
      </c>
    </row>
    <row r="112">
      <c r="E112" s="53" t="s">
        <v>103</v>
      </c>
      <c r="F112" s="53">
        <v>3.0</v>
      </c>
      <c r="G112" s="54">
        <v>100.0</v>
      </c>
      <c r="H112" s="55">
        <v>44175.0</v>
      </c>
    </row>
    <row r="113">
      <c r="E113" s="53" t="s">
        <v>168</v>
      </c>
      <c r="F113" s="53" t="s">
        <v>169</v>
      </c>
      <c r="G113" s="54">
        <v>880.0</v>
      </c>
      <c r="H113" s="55">
        <v>44175.0</v>
      </c>
    </row>
    <row r="114">
      <c r="E114" s="53" t="s">
        <v>126</v>
      </c>
      <c r="F114" s="53">
        <v>2.0</v>
      </c>
      <c r="G114" s="54">
        <v>1500.0</v>
      </c>
      <c r="H114" s="55">
        <v>44175.0</v>
      </c>
    </row>
    <row r="115">
      <c r="E115" s="53" t="s">
        <v>170</v>
      </c>
      <c r="F115" s="53">
        <v>3.0</v>
      </c>
      <c r="G115" s="54">
        <v>150.0</v>
      </c>
      <c r="H115" s="55">
        <v>44176.0</v>
      </c>
    </row>
    <row r="116">
      <c r="E116" s="53" t="s">
        <v>115</v>
      </c>
      <c r="F116" s="53">
        <v>6.0</v>
      </c>
      <c r="G116" s="54">
        <v>1200.0</v>
      </c>
      <c r="H116" s="55">
        <v>44176.0</v>
      </c>
    </row>
    <row r="117">
      <c r="E117" s="57" t="s">
        <v>95</v>
      </c>
      <c r="F117" s="57" t="s">
        <v>171</v>
      </c>
      <c r="G117" s="58">
        <v>3850.0</v>
      </c>
      <c r="H117" s="60">
        <v>44176.0</v>
      </c>
    </row>
    <row r="118">
      <c r="E118" s="53" t="s">
        <v>172</v>
      </c>
      <c r="F118" s="53" t="s">
        <v>37</v>
      </c>
      <c r="G118" s="54">
        <v>2000.0</v>
      </c>
      <c r="H118" s="55">
        <v>44176.0</v>
      </c>
    </row>
    <row r="119">
      <c r="E119" s="53" t="s">
        <v>173</v>
      </c>
      <c r="F119" s="53">
        <v>10.0</v>
      </c>
      <c r="G119" s="54">
        <v>800.0</v>
      </c>
      <c r="H119" s="55">
        <v>44176.0</v>
      </c>
    </row>
    <row r="120">
      <c r="E120" s="53" t="s">
        <v>174</v>
      </c>
      <c r="F120" s="53">
        <v>3.0</v>
      </c>
      <c r="G120" s="54">
        <v>350.0</v>
      </c>
      <c r="H120" s="55">
        <v>44176.0</v>
      </c>
    </row>
    <row r="121">
      <c r="E121" s="53" t="s">
        <v>175</v>
      </c>
      <c r="F121" s="53">
        <v>3.0</v>
      </c>
      <c r="G121" s="54">
        <v>2500.0</v>
      </c>
      <c r="H121" s="55">
        <v>44176.0</v>
      </c>
    </row>
    <row r="122">
      <c r="E122" s="57" t="s">
        <v>95</v>
      </c>
      <c r="F122" s="57">
        <v>90.0</v>
      </c>
      <c r="G122" s="58">
        <v>4500.0</v>
      </c>
      <c r="H122" s="60">
        <v>44177.0</v>
      </c>
    </row>
    <row r="123">
      <c r="E123" s="53" t="s">
        <v>176</v>
      </c>
      <c r="F123" s="53">
        <v>1.0</v>
      </c>
      <c r="G123" s="54">
        <v>1000.0</v>
      </c>
      <c r="H123" s="55">
        <v>44177.0</v>
      </c>
    </row>
    <row r="124">
      <c r="E124" s="53" t="s">
        <v>177</v>
      </c>
      <c r="F124" s="53">
        <v>3.0</v>
      </c>
      <c r="G124" s="54">
        <v>750.0</v>
      </c>
      <c r="H124" s="55">
        <v>44177.0</v>
      </c>
    </row>
    <row r="125">
      <c r="E125" s="53" t="s">
        <v>178</v>
      </c>
      <c r="F125" s="53" t="s">
        <v>179</v>
      </c>
      <c r="G125" s="54">
        <v>350.0</v>
      </c>
      <c r="H125" s="55">
        <v>44177.0</v>
      </c>
    </row>
    <row r="126">
      <c r="E126" s="53" t="s">
        <v>180</v>
      </c>
      <c r="F126" s="53">
        <v>4.0</v>
      </c>
      <c r="G126" s="54">
        <v>4200.0</v>
      </c>
      <c r="H126" s="55">
        <v>44177.0</v>
      </c>
    </row>
    <row r="127">
      <c r="E127" s="53" t="s">
        <v>181</v>
      </c>
      <c r="F127" s="53">
        <v>3.0</v>
      </c>
      <c r="G127" s="54">
        <v>1650.0</v>
      </c>
      <c r="H127" s="55">
        <v>44178.0</v>
      </c>
    </row>
    <row r="128">
      <c r="E128" s="53" t="s">
        <v>182</v>
      </c>
      <c r="F128" s="53">
        <v>1.0</v>
      </c>
      <c r="G128" s="54">
        <v>200.0</v>
      </c>
      <c r="H128" s="55">
        <v>44178.0</v>
      </c>
    </row>
    <row r="129">
      <c r="E129" s="53" t="s">
        <v>62</v>
      </c>
      <c r="F129" s="53" t="s">
        <v>183</v>
      </c>
      <c r="G129" s="54">
        <v>1000.0</v>
      </c>
      <c r="H129" s="55">
        <v>44178.0</v>
      </c>
    </row>
    <row r="130">
      <c r="E130" s="53" t="s">
        <v>184</v>
      </c>
      <c r="F130" s="53">
        <v>1.0</v>
      </c>
      <c r="G130" s="54">
        <v>50.0</v>
      </c>
      <c r="H130" s="55">
        <v>44178.0</v>
      </c>
    </row>
    <row r="131">
      <c r="E131" s="53" t="s">
        <v>185</v>
      </c>
      <c r="F131" s="53">
        <v>1.0</v>
      </c>
      <c r="G131" s="54">
        <v>80.0</v>
      </c>
      <c r="H131" s="55">
        <v>44178.0</v>
      </c>
    </row>
    <row r="132">
      <c r="E132" s="53" t="s">
        <v>186</v>
      </c>
      <c r="F132" s="53">
        <v>9.0</v>
      </c>
      <c r="G132" s="54">
        <v>1620.0</v>
      </c>
      <c r="H132" s="55">
        <v>44178.0</v>
      </c>
    </row>
    <row r="133">
      <c r="E133" s="53" t="s">
        <v>187</v>
      </c>
      <c r="F133" s="53">
        <v>2.0</v>
      </c>
      <c r="G133" s="54">
        <v>280.0</v>
      </c>
      <c r="H133" s="55">
        <v>44178.0</v>
      </c>
    </row>
    <row r="134">
      <c r="E134" s="53" t="s">
        <v>188</v>
      </c>
      <c r="F134" s="53">
        <v>3.0</v>
      </c>
      <c r="G134" s="54">
        <v>480.0</v>
      </c>
      <c r="H134" s="55">
        <v>44178.0</v>
      </c>
    </row>
    <row r="135">
      <c r="E135" s="53" t="s">
        <v>182</v>
      </c>
      <c r="F135" s="53">
        <v>2.0</v>
      </c>
      <c r="G135" s="54">
        <v>320.0</v>
      </c>
      <c r="H135" s="55">
        <v>44178.0</v>
      </c>
    </row>
    <row r="136">
      <c r="E136" s="53" t="s">
        <v>189</v>
      </c>
      <c r="F136" s="53">
        <v>2.0</v>
      </c>
      <c r="G136" s="54">
        <v>200.0</v>
      </c>
      <c r="H136" s="55">
        <v>44178.0</v>
      </c>
    </row>
    <row r="137">
      <c r="E137" s="53" t="s">
        <v>190</v>
      </c>
      <c r="F137" s="53">
        <v>12.0</v>
      </c>
      <c r="G137" s="54">
        <v>2400.0</v>
      </c>
      <c r="H137" s="55">
        <v>44178.0</v>
      </c>
    </row>
    <row r="138">
      <c r="E138" s="53" t="s">
        <v>191</v>
      </c>
      <c r="F138" s="53" t="s">
        <v>192</v>
      </c>
      <c r="G138" s="54">
        <v>200.0</v>
      </c>
      <c r="H138" s="55">
        <v>44178.0</v>
      </c>
    </row>
    <row r="139">
      <c r="E139" s="53" t="s">
        <v>189</v>
      </c>
      <c r="F139" s="53">
        <v>12.0</v>
      </c>
      <c r="G139" s="54">
        <v>720.0</v>
      </c>
      <c r="H139" s="55">
        <v>44178.0</v>
      </c>
    </row>
    <row r="140">
      <c r="E140" s="53" t="s">
        <v>193</v>
      </c>
      <c r="F140" s="53">
        <v>2.0</v>
      </c>
      <c r="G140" s="54">
        <v>400.0</v>
      </c>
      <c r="H140" s="55">
        <v>44178.0</v>
      </c>
    </row>
    <row r="141">
      <c r="E141" s="53" t="s">
        <v>114</v>
      </c>
      <c r="F141" s="53">
        <v>3.0</v>
      </c>
      <c r="G141" s="54">
        <v>150.0</v>
      </c>
      <c r="H141" s="55">
        <v>44178.0</v>
      </c>
    </row>
    <row r="142">
      <c r="E142" s="53" t="s">
        <v>51</v>
      </c>
      <c r="F142" s="53" t="s">
        <v>52</v>
      </c>
      <c r="G142" s="54">
        <v>10400.0</v>
      </c>
      <c r="H142" s="55">
        <v>44178.0</v>
      </c>
    </row>
    <row r="143">
      <c r="E143" s="53" t="s">
        <v>146</v>
      </c>
      <c r="F143" s="53" t="s">
        <v>39</v>
      </c>
      <c r="G143" s="54">
        <v>600.0</v>
      </c>
      <c r="H143" s="55">
        <v>44178.0</v>
      </c>
    </row>
    <row r="144">
      <c r="E144" s="53" t="s">
        <v>166</v>
      </c>
      <c r="F144" s="53" t="s">
        <v>26</v>
      </c>
      <c r="G144" s="54">
        <v>500.0</v>
      </c>
      <c r="H144" s="55">
        <v>44178.0</v>
      </c>
    </row>
    <row r="145">
      <c r="E145" s="53" t="s">
        <v>194</v>
      </c>
      <c r="F145" s="53">
        <v>2.0</v>
      </c>
      <c r="G145" s="54">
        <v>720.0</v>
      </c>
      <c r="H145" s="55">
        <v>44179.0</v>
      </c>
    </row>
    <row r="146">
      <c r="E146" s="53" t="s">
        <v>93</v>
      </c>
      <c r="F146" s="53" t="s">
        <v>37</v>
      </c>
      <c r="G146" s="54">
        <v>1000.0</v>
      </c>
      <c r="H146" s="55">
        <v>44179.0</v>
      </c>
    </row>
    <row r="147">
      <c r="E147" s="53" t="s">
        <v>166</v>
      </c>
      <c r="F147" s="53" t="s">
        <v>26</v>
      </c>
      <c r="G147" s="54">
        <v>500.0</v>
      </c>
      <c r="H147" s="55">
        <v>44179.0</v>
      </c>
    </row>
    <row r="148">
      <c r="E148" s="53" t="s">
        <v>195</v>
      </c>
      <c r="F148" s="53">
        <v>2.0</v>
      </c>
      <c r="G148" s="54">
        <v>250.0</v>
      </c>
      <c r="H148" s="55">
        <v>44179.0</v>
      </c>
    </row>
    <row r="149">
      <c r="E149" s="53" t="s">
        <v>196</v>
      </c>
      <c r="F149" s="53">
        <v>7.0</v>
      </c>
      <c r="G149" s="54">
        <v>250.0</v>
      </c>
      <c r="H149" s="55">
        <v>44180.0</v>
      </c>
    </row>
    <row r="150">
      <c r="E150" s="53" t="s">
        <v>197</v>
      </c>
      <c r="F150" s="53">
        <v>2.0</v>
      </c>
      <c r="G150" s="54">
        <v>2200.0</v>
      </c>
      <c r="H150" s="55">
        <v>44180.0</v>
      </c>
    </row>
    <row r="151">
      <c r="E151" s="53" t="s">
        <v>60</v>
      </c>
      <c r="F151" s="53">
        <v>5.0</v>
      </c>
      <c r="G151" s="54">
        <v>700.0</v>
      </c>
      <c r="H151" s="55">
        <v>44180.0</v>
      </c>
    </row>
    <row r="152">
      <c r="E152" s="53" t="s">
        <v>66</v>
      </c>
      <c r="F152" s="53" t="s">
        <v>64</v>
      </c>
      <c r="G152" s="54">
        <v>750.0</v>
      </c>
      <c r="H152" s="55">
        <v>44180.0</v>
      </c>
    </row>
    <row r="153">
      <c r="E153" s="53" t="s">
        <v>198</v>
      </c>
      <c r="F153" s="53" t="s">
        <v>199</v>
      </c>
      <c r="G153" s="54">
        <v>2250.0</v>
      </c>
      <c r="H153" s="55">
        <v>44180.0</v>
      </c>
    </row>
    <row r="154">
      <c r="E154" s="53" t="s">
        <v>200</v>
      </c>
      <c r="F154" s="53" t="s">
        <v>64</v>
      </c>
      <c r="G154" s="54">
        <v>1100.0</v>
      </c>
      <c r="H154" s="55">
        <v>44180.0</v>
      </c>
    </row>
    <row r="155">
      <c r="E155" s="53" t="s">
        <v>201</v>
      </c>
      <c r="F155" s="53" t="s">
        <v>202</v>
      </c>
      <c r="G155" s="54">
        <v>1860.0</v>
      </c>
      <c r="H155" s="55">
        <v>44180.0</v>
      </c>
    </row>
    <row r="156">
      <c r="E156" s="53" t="s">
        <v>42</v>
      </c>
      <c r="F156" s="53" t="s">
        <v>203</v>
      </c>
      <c r="G156" s="54">
        <v>5700.0</v>
      </c>
      <c r="H156" s="55">
        <v>44180.0</v>
      </c>
    </row>
    <row r="157">
      <c r="E157" s="53" t="s">
        <v>204</v>
      </c>
      <c r="F157" s="53">
        <v>1.0</v>
      </c>
      <c r="G157" s="54">
        <v>700.0</v>
      </c>
      <c r="H157" s="55">
        <v>44180.0</v>
      </c>
    </row>
    <row r="158">
      <c r="E158" s="53" t="s">
        <v>205</v>
      </c>
      <c r="F158" s="53">
        <v>4.0</v>
      </c>
      <c r="G158" s="54">
        <v>720.0</v>
      </c>
      <c r="H158" s="55">
        <v>44180.0</v>
      </c>
    </row>
    <row r="159">
      <c r="E159" s="53" t="s">
        <v>206</v>
      </c>
      <c r="F159" s="53">
        <v>1.0</v>
      </c>
      <c r="G159" s="54">
        <v>500.0</v>
      </c>
      <c r="H159" s="55">
        <v>44180.0</v>
      </c>
    </row>
    <row r="160">
      <c r="E160" s="53" t="s">
        <v>207</v>
      </c>
      <c r="F160" s="53">
        <v>1.0</v>
      </c>
      <c r="G160" s="54">
        <v>800.0</v>
      </c>
      <c r="H160" s="55">
        <v>44180.0</v>
      </c>
    </row>
    <row r="161">
      <c r="E161" s="53" t="s">
        <v>208</v>
      </c>
      <c r="F161" s="53">
        <v>3.0</v>
      </c>
      <c r="G161" s="54">
        <v>750.0</v>
      </c>
      <c r="H161" s="55">
        <v>44181.0</v>
      </c>
    </row>
    <row r="162">
      <c r="E162" s="53" t="s">
        <v>209</v>
      </c>
      <c r="F162" s="53" t="s">
        <v>210</v>
      </c>
      <c r="G162" s="54">
        <v>380.0</v>
      </c>
      <c r="H162" s="55">
        <v>44181.0</v>
      </c>
    </row>
    <row r="163">
      <c r="E163" s="53" t="s">
        <v>211</v>
      </c>
      <c r="F163" s="53" t="s">
        <v>37</v>
      </c>
      <c r="G163" s="54">
        <v>2000.0</v>
      </c>
      <c r="H163" s="55">
        <v>44181.0</v>
      </c>
    </row>
    <row r="164">
      <c r="E164" s="53" t="s">
        <v>166</v>
      </c>
      <c r="F164" s="53" t="s">
        <v>26</v>
      </c>
      <c r="G164" s="54">
        <v>1500.0</v>
      </c>
      <c r="H164" s="55">
        <v>44181.0</v>
      </c>
    </row>
    <row r="165">
      <c r="E165" s="53" t="s">
        <v>212</v>
      </c>
      <c r="F165" s="53" t="s">
        <v>39</v>
      </c>
      <c r="G165" s="54">
        <v>150.0</v>
      </c>
      <c r="H165" s="55">
        <v>44181.0</v>
      </c>
    </row>
    <row r="166">
      <c r="E166" s="53" t="s">
        <v>213</v>
      </c>
      <c r="F166" s="53" t="s">
        <v>59</v>
      </c>
      <c r="G166" s="54">
        <v>150.0</v>
      </c>
      <c r="H166" s="55">
        <v>44181.0</v>
      </c>
    </row>
    <row r="167">
      <c r="E167" s="53" t="s">
        <v>214</v>
      </c>
      <c r="F167" s="53">
        <v>1.0</v>
      </c>
      <c r="G167" s="54">
        <v>50.0</v>
      </c>
      <c r="H167" s="55">
        <v>44181.0</v>
      </c>
    </row>
    <row r="168">
      <c r="E168" s="53" t="s">
        <v>215</v>
      </c>
      <c r="F168" s="53" t="s">
        <v>26</v>
      </c>
      <c r="G168" s="54">
        <v>250.0</v>
      </c>
      <c r="H168" s="55">
        <v>44181.0</v>
      </c>
    </row>
    <row r="169">
      <c r="E169" s="53" t="s">
        <v>189</v>
      </c>
      <c r="F169" s="53">
        <v>4.0</v>
      </c>
      <c r="G169" s="54">
        <v>160.0</v>
      </c>
      <c r="H169" s="55">
        <v>44181.0</v>
      </c>
    </row>
    <row r="170">
      <c r="E170" s="53" t="s">
        <v>216</v>
      </c>
      <c r="F170" s="53" t="s">
        <v>217</v>
      </c>
      <c r="G170" s="54">
        <v>660.0</v>
      </c>
      <c r="H170" s="55">
        <v>44181.0</v>
      </c>
    </row>
    <row r="171">
      <c r="E171" s="53" t="s">
        <v>93</v>
      </c>
      <c r="F171" s="53" t="s">
        <v>92</v>
      </c>
      <c r="G171" s="54">
        <v>1500.0</v>
      </c>
      <c r="H171" s="55">
        <v>44181.0</v>
      </c>
    </row>
    <row r="172">
      <c r="E172" s="53" t="s">
        <v>211</v>
      </c>
      <c r="F172" s="53" t="s">
        <v>218</v>
      </c>
      <c r="G172" s="54">
        <v>4500.0</v>
      </c>
      <c r="H172" s="55">
        <v>44182.0</v>
      </c>
    </row>
    <row r="173">
      <c r="E173" s="53" t="s">
        <v>219</v>
      </c>
      <c r="F173" s="53">
        <v>1.0</v>
      </c>
      <c r="G173" s="54">
        <v>500.0</v>
      </c>
      <c r="H173" s="55">
        <v>44182.0</v>
      </c>
    </row>
    <row r="174">
      <c r="E174" s="53" t="s">
        <v>126</v>
      </c>
      <c r="F174" s="53">
        <v>1.0</v>
      </c>
      <c r="G174" s="54">
        <v>500.0</v>
      </c>
      <c r="H174" s="55">
        <v>44182.0</v>
      </c>
    </row>
    <row r="175">
      <c r="E175" s="53" t="s">
        <v>220</v>
      </c>
      <c r="F175" s="53" t="s">
        <v>221</v>
      </c>
      <c r="G175" s="54">
        <v>300.0</v>
      </c>
      <c r="H175" s="55">
        <v>44182.0</v>
      </c>
    </row>
    <row r="176">
      <c r="E176" s="53" t="s">
        <v>200</v>
      </c>
      <c r="F176" s="53">
        <v>3.0</v>
      </c>
      <c r="G176" s="54">
        <v>600.0</v>
      </c>
      <c r="H176" s="55">
        <v>44182.0</v>
      </c>
    </row>
    <row r="177">
      <c r="E177" s="57" t="s">
        <v>95</v>
      </c>
      <c r="F177" s="57">
        <v>135.0</v>
      </c>
      <c r="G177" s="58"/>
      <c r="H177" s="60">
        <v>44183.0</v>
      </c>
    </row>
    <row r="178">
      <c r="E178" s="53" t="s">
        <v>206</v>
      </c>
      <c r="F178" s="53">
        <v>3.0</v>
      </c>
      <c r="G178" s="54">
        <v>2500.0</v>
      </c>
      <c r="H178" s="55">
        <v>44183.0</v>
      </c>
    </row>
    <row r="179">
      <c r="E179" s="53" t="s">
        <v>166</v>
      </c>
      <c r="F179" s="53" t="s">
        <v>26</v>
      </c>
      <c r="G179" s="54">
        <v>600.0</v>
      </c>
      <c r="H179" s="55">
        <v>44183.0</v>
      </c>
    </row>
    <row r="180">
      <c r="E180" s="53" t="s">
        <v>222</v>
      </c>
      <c r="F180" s="53" t="s">
        <v>26</v>
      </c>
      <c r="G180" s="54">
        <v>700.0</v>
      </c>
      <c r="H180" s="55">
        <v>44184.0</v>
      </c>
    </row>
    <row r="181">
      <c r="E181" s="53" t="s">
        <v>115</v>
      </c>
      <c r="F181" s="53">
        <v>1.0</v>
      </c>
      <c r="G181" s="54">
        <v>200.0</v>
      </c>
      <c r="H181" s="55">
        <v>44184.0</v>
      </c>
    </row>
    <row r="182">
      <c r="E182" s="53" t="s">
        <v>114</v>
      </c>
      <c r="F182" s="53">
        <v>3.0</v>
      </c>
      <c r="G182" s="54">
        <v>90.0</v>
      </c>
      <c r="H182" s="55">
        <v>44184.0</v>
      </c>
    </row>
    <row r="183">
      <c r="E183" s="53" t="s">
        <v>223</v>
      </c>
      <c r="F183" s="53" t="s">
        <v>224</v>
      </c>
      <c r="G183" s="54">
        <v>7000.0</v>
      </c>
      <c r="H183" s="55">
        <v>44184.0</v>
      </c>
    </row>
    <row r="184">
      <c r="E184" s="53" t="s">
        <v>62</v>
      </c>
      <c r="F184" s="53" t="s">
        <v>225</v>
      </c>
      <c r="G184" s="54">
        <v>8450.0</v>
      </c>
      <c r="H184" s="55">
        <v>44184.0</v>
      </c>
    </row>
    <row r="185">
      <c r="E185" s="53" t="s">
        <v>226</v>
      </c>
      <c r="F185" s="53" t="s">
        <v>161</v>
      </c>
      <c r="G185" s="54">
        <v>70.0</v>
      </c>
      <c r="H185" s="55">
        <v>44184.0</v>
      </c>
    </row>
    <row r="186">
      <c r="E186" s="53" t="s">
        <v>227</v>
      </c>
      <c r="F186" s="53">
        <v>1.0</v>
      </c>
      <c r="G186" s="54">
        <v>350.0</v>
      </c>
      <c r="H186" s="55">
        <v>44184.0</v>
      </c>
    </row>
    <row r="187">
      <c r="E187" s="53" t="s">
        <v>228</v>
      </c>
      <c r="F187" s="53">
        <v>1.0</v>
      </c>
      <c r="G187" s="54">
        <v>300.0</v>
      </c>
      <c r="H187" s="55">
        <v>44184.0</v>
      </c>
    </row>
    <row r="188">
      <c r="E188" s="53" t="s">
        <v>229</v>
      </c>
      <c r="F188" s="53" t="s">
        <v>230</v>
      </c>
      <c r="G188" s="54">
        <v>1080.0</v>
      </c>
      <c r="H188" s="55">
        <v>44184.0</v>
      </c>
    </row>
    <row r="189">
      <c r="E189" s="53" t="s">
        <v>231</v>
      </c>
      <c r="F189" s="53">
        <v>5.0</v>
      </c>
      <c r="G189" s="54">
        <v>1000.0</v>
      </c>
      <c r="H189" s="55">
        <v>44184.0</v>
      </c>
    </row>
    <row r="190">
      <c r="E190" s="53" t="s">
        <v>232</v>
      </c>
      <c r="F190" s="53">
        <v>6.0</v>
      </c>
      <c r="G190" s="54">
        <v>600.0</v>
      </c>
      <c r="H190" s="55">
        <v>44185.0</v>
      </c>
    </row>
    <row r="191">
      <c r="E191" s="53" t="s">
        <v>233</v>
      </c>
      <c r="F191" s="53" t="s">
        <v>234</v>
      </c>
      <c r="G191" s="54">
        <v>400.0</v>
      </c>
      <c r="H191" s="55">
        <v>44185.0</v>
      </c>
    </row>
    <row r="192">
      <c r="E192" s="53" t="s">
        <v>235</v>
      </c>
      <c r="F192" s="53" t="s">
        <v>236</v>
      </c>
      <c r="G192" s="54">
        <v>1700.0</v>
      </c>
      <c r="H192" s="55">
        <v>44185.0</v>
      </c>
    </row>
    <row r="193">
      <c r="E193" s="53" t="s">
        <v>237</v>
      </c>
      <c r="F193" s="53" t="s">
        <v>238</v>
      </c>
      <c r="G193" s="54">
        <v>5200.0</v>
      </c>
      <c r="H193" s="55">
        <v>44185.0</v>
      </c>
    </row>
    <row r="194">
      <c r="E194" s="53" t="s">
        <v>103</v>
      </c>
      <c r="F194" s="53">
        <v>6.0</v>
      </c>
      <c r="G194" s="54">
        <v>160.0</v>
      </c>
      <c r="H194" s="55">
        <v>44184.0</v>
      </c>
    </row>
    <row r="195">
      <c r="E195" s="53" t="s">
        <v>239</v>
      </c>
      <c r="F195" s="53">
        <v>1.0</v>
      </c>
      <c r="G195" s="54">
        <v>1000.0</v>
      </c>
      <c r="H195" s="55">
        <v>44183.0</v>
      </c>
    </row>
    <row r="196">
      <c r="E196" s="53" t="s">
        <v>51</v>
      </c>
      <c r="F196" s="53" t="s">
        <v>240</v>
      </c>
      <c r="G196" s="54">
        <v>5200.0</v>
      </c>
      <c r="H196" s="55">
        <v>44186.0</v>
      </c>
    </row>
    <row r="197">
      <c r="E197" s="53" t="s">
        <v>143</v>
      </c>
      <c r="F197" s="53" t="s">
        <v>241</v>
      </c>
      <c r="G197" s="54">
        <v>3600.0</v>
      </c>
      <c r="H197" s="55">
        <v>44186.0</v>
      </c>
    </row>
    <row r="198">
      <c r="E198" s="53" t="s">
        <v>242</v>
      </c>
      <c r="F198" s="53" t="s">
        <v>243</v>
      </c>
      <c r="G198" s="54">
        <v>5000.0</v>
      </c>
      <c r="H198" s="55">
        <v>44186.0</v>
      </c>
    </row>
    <row r="199">
      <c r="E199" s="53" t="s">
        <v>244</v>
      </c>
      <c r="F199" s="53" t="s">
        <v>245</v>
      </c>
      <c r="G199" s="54">
        <v>300.0</v>
      </c>
      <c r="H199" s="55">
        <v>44187.0</v>
      </c>
    </row>
    <row r="200">
      <c r="E200" s="53" t="s">
        <v>115</v>
      </c>
      <c r="F200" s="53">
        <v>1.0</v>
      </c>
      <c r="G200" s="54">
        <v>750.0</v>
      </c>
      <c r="H200" s="55">
        <v>44188.0</v>
      </c>
    </row>
    <row r="201">
      <c r="E201" s="53" t="s">
        <v>114</v>
      </c>
      <c r="F201" s="53">
        <v>5.0</v>
      </c>
      <c r="G201" s="54">
        <v>500.0</v>
      </c>
      <c r="H201" s="55">
        <v>44188.0</v>
      </c>
    </row>
    <row r="202">
      <c r="E202" s="53" t="s">
        <v>235</v>
      </c>
      <c r="F202" s="53" t="s">
        <v>37</v>
      </c>
      <c r="G202" s="54">
        <v>2000.0</v>
      </c>
      <c r="H202" s="55">
        <v>44188.0</v>
      </c>
    </row>
    <row r="203">
      <c r="E203" s="53" t="s">
        <v>246</v>
      </c>
      <c r="F203" s="53">
        <v>3.0</v>
      </c>
      <c r="G203" s="54">
        <v>360.0</v>
      </c>
      <c r="H203" s="55">
        <v>44189.0</v>
      </c>
    </row>
    <row r="204">
      <c r="E204" s="53" t="s">
        <v>247</v>
      </c>
      <c r="F204" s="53">
        <v>5.0</v>
      </c>
      <c r="G204" s="54">
        <v>200.0</v>
      </c>
      <c r="H204" s="55">
        <v>44189.0</v>
      </c>
    </row>
    <row r="205">
      <c r="E205" s="53" t="s">
        <v>166</v>
      </c>
      <c r="F205" s="53" t="s">
        <v>59</v>
      </c>
      <c r="G205" s="54">
        <v>800.0</v>
      </c>
      <c r="H205" s="55">
        <v>44189.0</v>
      </c>
    </row>
    <row r="206">
      <c r="E206" s="53" t="s">
        <v>248</v>
      </c>
      <c r="F206" s="53">
        <v>2.0</v>
      </c>
      <c r="G206" s="54">
        <v>500.0</v>
      </c>
      <c r="H206" s="55">
        <v>44189.0</v>
      </c>
    </row>
    <row r="207">
      <c r="E207" s="53" t="s">
        <v>249</v>
      </c>
      <c r="F207" s="53">
        <v>6.0</v>
      </c>
      <c r="G207" s="54">
        <v>440.0</v>
      </c>
      <c r="H207" s="55">
        <v>44189.0</v>
      </c>
    </row>
    <row r="208">
      <c r="E208" s="53" t="s">
        <v>250</v>
      </c>
      <c r="F208" s="53" t="s">
        <v>161</v>
      </c>
      <c r="G208" s="54">
        <v>200.0</v>
      </c>
      <c r="H208" s="55">
        <v>44189.0</v>
      </c>
    </row>
    <row r="209">
      <c r="E209" s="53" t="s">
        <v>251</v>
      </c>
      <c r="F209" s="53">
        <v>2.0</v>
      </c>
      <c r="G209" s="54">
        <v>320.0</v>
      </c>
      <c r="H209" s="55">
        <v>44189.0</v>
      </c>
    </row>
    <row r="210">
      <c r="E210" s="53" t="s">
        <v>206</v>
      </c>
      <c r="F210" s="53">
        <v>3.0</v>
      </c>
      <c r="G210" s="54">
        <v>2000.0</v>
      </c>
      <c r="H210" s="55">
        <v>44189.0</v>
      </c>
    </row>
    <row r="211">
      <c r="E211" s="53" t="s">
        <v>101</v>
      </c>
      <c r="F211" s="53" t="s">
        <v>179</v>
      </c>
      <c r="G211" s="54">
        <v>380.0</v>
      </c>
      <c r="H211" s="55">
        <v>44189.0</v>
      </c>
    </row>
    <row r="212">
      <c r="E212" s="53" t="s">
        <v>252</v>
      </c>
      <c r="F212" s="53">
        <v>18.0</v>
      </c>
      <c r="G212" s="54">
        <v>210.0</v>
      </c>
      <c r="H212" s="55">
        <v>44189.0</v>
      </c>
    </row>
    <row r="213">
      <c r="E213" s="53" t="s">
        <v>253</v>
      </c>
      <c r="F213" s="53">
        <v>1.0</v>
      </c>
      <c r="G213" s="54">
        <v>1000.0</v>
      </c>
      <c r="H213" s="55">
        <v>44189.0</v>
      </c>
    </row>
    <row r="214">
      <c r="E214" s="53" t="s">
        <v>254</v>
      </c>
      <c r="F214" s="53">
        <v>3.0</v>
      </c>
      <c r="G214" s="54">
        <v>100.0</v>
      </c>
      <c r="H214" s="55">
        <v>44190.0</v>
      </c>
    </row>
    <row r="215">
      <c r="E215" s="53" t="s">
        <v>114</v>
      </c>
      <c r="F215" s="53">
        <v>4.0</v>
      </c>
      <c r="G215" s="54">
        <v>400.0</v>
      </c>
      <c r="H215" s="55">
        <v>44189.0</v>
      </c>
    </row>
    <row r="216">
      <c r="E216" s="53" t="s">
        <v>246</v>
      </c>
      <c r="F216" s="53">
        <v>3.0</v>
      </c>
      <c r="G216" s="54">
        <v>360.0</v>
      </c>
      <c r="H216" s="55">
        <v>44190.0</v>
      </c>
    </row>
    <row r="217">
      <c r="E217" s="53" t="s">
        <v>206</v>
      </c>
      <c r="F217" s="53">
        <v>4.0</v>
      </c>
      <c r="G217" s="54">
        <v>3000.0</v>
      </c>
      <c r="H217" s="55">
        <v>44190.0</v>
      </c>
    </row>
    <row r="218">
      <c r="E218" s="53" t="s">
        <v>255</v>
      </c>
      <c r="F218" s="53" t="s">
        <v>256</v>
      </c>
      <c r="G218" s="54">
        <v>2650.0</v>
      </c>
      <c r="H218" s="55">
        <v>44191.0</v>
      </c>
    </row>
    <row r="219">
      <c r="E219" s="53" t="s">
        <v>51</v>
      </c>
      <c r="F219" s="53">
        <v>20.0</v>
      </c>
      <c r="G219" s="54">
        <v>10400.0</v>
      </c>
      <c r="H219" s="55">
        <v>44189.0</v>
      </c>
    </row>
    <row r="220">
      <c r="E220" s="53" t="s">
        <v>194</v>
      </c>
      <c r="F220" s="53">
        <v>1.0</v>
      </c>
      <c r="G220" s="54">
        <v>360.0</v>
      </c>
      <c r="H220" s="55">
        <v>44191.0</v>
      </c>
    </row>
    <row r="221">
      <c r="E221" s="53" t="s">
        <v>89</v>
      </c>
      <c r="F221" s="53" t="s">
        <v>37</v>
      </c>
      <c r="G221" s="54">
        <v>1000.0</v>
      </c>
      <c r="H221" s="55">
        <v>44193.0</v>
      </c>
    </row>
    <row r="222">
      <c r="E222" s="53" t="s">
        <v>149</v>
      </c>
      <c r="F222" s="53" t="s">
        <v>257</v>
      </c>
      <c r="G222" s="54">
        <v>480.0</v>
      </c>
      <c r="H222" s="55">
        <v>44194.0</v>
      </c>
    </row>
    <row r="223">
      <c r="E223" s="53" t="s">
        <v>166</v>
      </c>
      <c r="F223" s="53" t="s">
        <v>258</v>
      </c>
      <c r="G223" s="54">
        <v>500.0</v>
      </c>
      <c r="H223" s="55">
        <v>44194.0</v>
      </c>
    </row>
    <row r="224">
      <c r="E224" s="53" t="s">
        <v>235</v>
      </c>
      <c r="F224" s="53" t="s">
        <v>106</v>
      </c>
      <c r="G224" s="54">
        <v>1000.0</v>
      </c>
      <c r="H224" s="55">
        <v>44194.0</v>
      </c>
    </row>
    <row r="225">
      <c r="E225" s="53" t="s">
        <v>259</v>
      </c>
      <c r="F225" s="53">
        <v>2.0</v>
      </c>
      <c r="G225" s="54">
        <v>300.0</v>
      </c>
      <c r="H225" s="55">
        <v>44194.0</v>
      </c>
    </row>
    <row r="226">
      <c r="E226" s="53" t="s">
        <v>260</v>
      </c>
      <c r="F226" s="53">
        <v>2.0</v>
      </c>
      <c r="G226" s="54">
        <v>100.0</v>
      </c>
      <c r="H226" s="55">
        <v>44194.0</v>
      </c>
    </row>
    <row r="227">
      <c r="E227" s="53" t="s">
        <v>141</v>
      </c>
      <c r="F227" s="53">
        <v>1.0</v>
      </c>
      <c r="G227" s="54">
        <v>500.0</v>
      </c>
      <c r="H227" s="55">
        <v>44194.0</v>
      </c>
    </row>
    <row r="228">
      <c r="E228" s="53" t="s">
        <v>261</v>
      </c>
      <c r="F228" s="53" t="s">
        <v>262</v>
      </c>
      <c r="G228" s="54">
        <v>15000.0</v>
      </c>
      <c r="H228" s="55">
        <v>44196.0</v>
      </c>
    </row>
    <row r="229">
      <c r="E229" s="53" t="s">
        <v>246</v>
      </c>
      <c r="F229" s="53">
        <v>2.0</v>
      </c>
      <c r="G229" s="54">
        <v>300.0</v>
      </c>
      <c r="H229" s="55">
        <v>44196.0</v>
      </c>
    </row>
    <row r="230">
      <c r="E230" s="53" t="s">
        <v>263</v>
      </c>
      <c r="F230" s="53" t="s">
        <v>26</v>
      </c>
      <c r="G230" s="54">
        <v>300.0</v>
      </c>
      <c r="H230" s="55">
        <v>44196.0</v>
      </c>
    </row>
    <row r="231">
      <c r="E231" s="53" t="s">
        <v>264</v>
      </c>
      <c r="F231" s="53">
        <v>500.0</v>
      </c>
      <c r="G231" s="54">
        <v>200.0</v>
      </c>
      <c r="H231" s="55">
        <v>44196.0</v>
      </c>
    </row>
    <row r="232">
      <c r="E232" s="53" t="s">
        <v>149</v>
      </c>
      <c r="F232" s="53">
        <v>1.0</v>
      </c>
      <c r="G232" s="54">
        <v>500.0</v>
      </c>
      <c r="H232" s="55">
        <v>44196.0</v>
      </c>
    </row>
    <row r="233">
      <c r="E233" s="53" t="s">
        <v>265</v>
      </c>
      <c r="F233" s="53" t="s">
        <v>26</v>
      </c>
      <c r="G233" s="54">
        <v>300.0</v>
      </c>
      <c r="H233" s="55">
        <v>44196.0</v>
      </c>
    </row>
    <row r="234">
      <c r="E234" s="53" t="s">
        <v>266</v>
      </c>
      <c r="F234" s="53">
        <v>5.0</v>
      </c>
      <c r="G234" s="54">
        <v>130.0</v>
      </c>
      <c r="H234" s="55">
        <v>44196.0</v>
      </c>
    </row>
    <row r="235">
      <c r="E235" s="53" t="s">
        <v>267</v>
      </c>
      <c r="F235" s="53">
        <v>3.0</v>
      </c>
      <c r="G235" s="54">
        <v>300.0</v>
      </c>
      <c r="H235" s="55">
        <v>44196.0</v>
      </c>
    </row>
    <row r="236">
      <c r="E236" s="53" t="s">
        <v>268</v>
      </c>
      <c r="F236" s="53">
        <v>1.0</v>
      </c>
      <c r="G236" s="54">
        <v>50.0</v>
      </c>
      <c r="H236" s="55">
        <v>44196.0</v>
      </c>
    </row>
    <row r="237">
      <c r="E237" s="53" t="s">
        <v>269</v>
      </c>
      <c r="F237" s="53">
        <v>1.0</v>
      </c>
      <c r="G237" s="54">
        <v>50.0</v>
      </c>
      <c r="H237" s="55">
        <v>44196.0</v>
      </c>
    </row>
    <row r="238">
      <c r="E238" s="53" t="s">
        <v>206</v>
      </c>
      <c r="F238" s="53">
        <v>2.0</v>
      </c>
      <c r="G238" s="54">
        <v>1500.0</v>
      </c>
      <c r="H238" s="55">
        <v>44196.0</v>
      </c>
    </row>
    <row r="239">
      <c r="E239" s="53" t="s">
        <v>196</v>
      </c>
      <c r="F239" s="53">
        <v>3.0</v>
      </c>
      <c r="G239" s="54">
        <v>90.0</v>
      </c>
      <c r="H239" s="55">
        <v>44196.0</v>
      </c>
    </row>
    <row r="240">
      <c r="E240" s="53" t="s">
        <v>235</v>
      </c>
      <c r="F240" s="53" t="s">
        <v>245</v>
      </c>
      <c r="G240" s="54">
        <v>300.0</v>
      </c>
      <c r="H240" s="55">
        <v>44196.0</v>
      </c>
    </row>
    <row r="241">
      <c r="E241" s="53"/>
      <c r="F241" s="53"/>
      <c r="G241" s="54"/>
      <c r="H241" s="55"/>
    </row>
    <row r="242">
      <c r="E242" s="53"/>
      <c r="F242" s="53"/>
      <c r="G242" s="54"/>
      <c r="H242" s="55"/>
    </row>
    <row r="243">
      <c r="E243" s="53" t="s">
        <v>270</v>
      </c>
      <c r="F243" s="53" t="s">
        <v>271</v>
      </c>
      <c r="G243" s="54">
        <v>2700.0</v>
      </c>
      <c r="H243" s="55">
        <v>44191.0</v>
      </c>
    </row>
    <row r="244">
      <c r="E244" s="61" t="s">
        <v>272</v>
      </c>
      <c r="F244" s="62"/>
      <c r="G244" s="63">
        <f>SUM(G9:G243)</f>
        <v>397815</v>
      </c>
      <c r="H244" s="62"/>
    </row>
    <row r="245">
      <c r="E245" s="61" t="s">
        <v>273</v>
      </c>
      <c r="F245" s="62"/>
      <c r="G245" s="64">
        <v>40000.0</v>
      </c>
      <c r="H245" s="62"/>
    </row>
    <row r="246">
      <c r="E246" s="61" t="s">
        <v>274</v>
      </c>
      <c r="F246" s="62"/>
      <c r="G246" s="26">
        <f>G245-G244</f>
        <v>-357815</v>
      </c>
      <c r="H246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0"/>
  </cols>
  <sheetData>
    <row r="1">
      <c r="A1" s="19"/>
      <c r="B1" s="2" t="s">
        <v>0</v>
      </c>
      <c r="C1" s="65" t="s">
        <v>275</v>
      </c>
      <c r="D1" s="66" t="s">
        <v>276</v>
      </c>
      <c r="E1" s="66" t="s">
        <v>277</v>
      </c>
      <c r="F1" s="67" t="s">
        <v>278</v>
      </c>
      <c r="G1" s="66" t="s">
        <v>279</v>
      </c>
      <c r="H1" s="66" t="s">
        <v>29</v>
      </c>
      <c r="I1" s="67" t="s">
        <v>280</v>
      </c>
      <c r="J1" s="66" t="s">
        <v>281</v>
      </c>
      <c r="K1" s="66" t="s">
        <v>282</v>
      </c>
      <c r="L1" s="66" t="s">
        <v>283</v>
      </c>
      <c r="M1" s="68" t="s">
        <v>284</v>
      </c>
    </row>
    <row r="2">
      <c r="A2" s="7" t="s">
        <v>11</v>
      </c>
      <c r="B2" s="8">
        <v>44166.0</v>
      </c>
      <c r="C2" s="69">
        <v>1.0</v>
      </c>
      <c r="D2" s="69">
        <v>1.0</v>
      </c>
      <c r="E2" s="69">
        <v>0.0</v>
      </c>
      <c r="F2" s="69">
        <v>0.0</v>
      </c>
      <c r="G2" s="69">
        <v>0.0</v>
      </c>
      <c r="H2" s="69">
        <v>1.0</v>
      </c>
      <c r="I2" s="69">
        <v>0.0</v>
      </c>
      <c r="J2" s="69">
        <v>1.0</v>
      </c>
      <c r="K2" s="69">
        <v>1.0</v>
      </c>
      <c r="L2" s="69">
        <v>1.0</v>
      </c>
      <c r="M2" s="62"/>
    </row>
    <row r="3">
      <c r="A3" s="7" t="s">
        <v>13</v>
      </c>
      <c r="B3" s="8">
        <v>44167.0</v>
      </c>
      <c r="C3" s="69">
        <v>1.0</v>
      </c>
      <c r="D3" s="69">
        <v>0.0</v>
      </c>
      <c r="E3" s="69">
        <v>0.0</v>
      </c>
      <c r="F3" s="69">
        <v>0.0</v>
      </c>
      <c r="G3" s="69">
        <v>1.0</v>
      </c>
      <c r="H3" s="69">
        <v>1.0</v>
      </c>
      <c r="I3" s="69">
        <v>0.0</v>
      </c>
      <c r="J3" s="69">
        <v>1.0</v>
      </c>
      <c r="K3" s="69">
        <v>1.0</v>
      </c>
      <c r="L3" s="69">
        <v>1.0</v>
      </c>
      <c r="M3" s="62"/>
    </row>
    <row r="4">
      <c r="A4" s="7" t="s">
        <v>14</v>
      </c>
      <c r="B4" s="8">
        <v>44168.0</v>
      </c>
      <c r="C4" s="69">
        <v>1.0</v>
      </c>
      <c r="D4" s="69">
        <v>0.0</v>
      </c>
      <c r="E4" s="69">
        <v>0.0</v>
      </c>
      <c r="F4" s="69">
        <v>0.0</v>
      </c>
      <c r="G4" s="69">
        <v>1.0</v>
      </c>
      <c r="H4" s="69">
        <v>1.0</v>
      </c>
      <c r="I4" s="69">
        <v>0.0</v>
      </c>
      <c r="J4" s="69">
        <v>1.0</v>
      </c>
      <c r="K4" s="69">
        <v>1.0</v>
      </c>
      <c r="L4" s="69">
        <v>1.0</v>
      </c>
      <c r="M4" s="62"/>
    </row>
    <row r="5">
      <c r="A5" s="20" t="s">
        <v>15</v>
      </c>
      <c r="B5" s="70">
        <v>44169.0</v>
      </c>
      <c r="C5" s="71">
        <v>1.0</v>
      </c>
      <c r="D5" s="72">
        <v>0.0</v>
      </c>
      <c r="E5" s="71">
        <v>1.0</v>
      </c>
      <c r="F5" s="71">
        <v>0.0</v>
      </c>
      <c r="G5" s="71">
        <v>1.0</v>
      </c>
      <c r="H5" s="71">
        <v>0.0</v>
      </c>
      <c r="I5" s="71">
        <v>0.0</v>
      </c>
      <c r="J5" s="71">
        <v>1.0</v>
      </c>
      <c r="K5" s="71">
        <v>1.0</v>
      </c>
      <c r="L5" s="71">
        <v>1.5</v>
      </c>
      <c r="M5" s="62"/>
    </row>
    <row r="6">
      <c r="A6" s="7" t="s">
        <v>16</v>
      </c>
      <c r="B6" s="8">
        <v>44170.0</v>
      </c>
      <c r="C6" s="69">
        <v>0.0</v>
      </c>
      <c r="D6" s="69">
        <v>1.0</v>
      </c>
      <c r="E6" s="69">
        <v>1.0</v>
      </c>
      <c r="F6" s="69">
        <v>0.0</v>
      </c>
      <c r="G6" s="69">
        <v>0.0</v>
      </c>
      <c r="H6" s="69">
        <v>1.0</v>
      </c>
      <c r="I6" s="69">
        <v>0.0</v>
      </c>
      <c r="J6" s="69">
        <v>1.0</v>
      </c>
      <c r="K6" s="69">
        <v>0.5</v>
      </c>
      <c r="L6" s="69">
        <v>0.0</v>
      </c>
      <c r="M6" s="62"/>
    </row>
    <row r="7">
      <c r="A7" s="7" t="s">
        <v>17</v>
      </c>
      <c r="B7" s="8">
        <v>44171.0</v>
      </c>
      <c r="C7" s="73">
        <v>1.0</v>
      </c>
      <c r="D7" s="73">
        <v>1.0</v>
      </c>
      <c r="E7" s="73">
        <v>0.0</v>
      </c>
      <c r="F7" s="73">
        <v>0.0</v>
      </c>
      <c r="G7" s="73">
        <v>0.0</v>
      </c>
      <c r="H7" s="73">
        <v>1.0</v>
      </c>
      <c r="I7" s="73">
        <v>0.0</v>
      </c>
      <c r="J7" s="73">
        <v>1.0</v>
      </c>
      <c r="K7" s="73">
        <v>1.0</v>
      </c>
      <c r="L7" s="73">
        <v>1.0</v>
      </c>
      <c r="M7" s="62"/>
    </row>
    <row r="8">
      <c r="A8" s="7" t="s">
        <v>18</v>
      </c>
      <c r="B8" s="8">
        <v>44172.0</v>
      </c>
      <c r="C8" s="73">
        <v>1.0</v>
      </c>
      <c r="D8" s="73">
        <v>1.0</v>
      </c>
      <c r="E8" s="73">
        <v>0.0</v>
      </c>
      <c r="F8" s="73">
        <v>0.0</v>
      </c>
      <c r="G8" s="73">
        <v>0.0</v>
      </c>
      <c r="H8" s="73">
        <v>1.0</v>
      </c>
      <c r="I8" s="73">
        <v>0.0</v>
      </c>
      <c r="J8" s="73">
        <v>1.0</v>
      </c>
      <c r="K8" s="73">
        <v>0.5</v>
      </c>
      <c r="L8" s="73">
        <v>1.0</v>
      </c>
      <c r="M8" s="62"/>
    </row>
    <row r="9">
      <c r="A9" s="7" t="s">
        <v>11</v>
      </c>
      <c r="B9" s="8">
        <v>44173.0</v>
      </c>
      <c r="C9" s="73">
        <v>1.0</v>
      </c>
      <c r="D9" s="73">
        <v>1.0</v>
      </c>
      <c r="E9" s="73">
        <v>0.0</v>
      </c>
      <c r="F9" s="73">
        <v>0.0</v>
      </c>
      <c r="G9" s="73">
        <v>0.0</v>
      </c>
      <c r="H9" s="73">
        <v>1.0</v>
      </c>
      <c r="I9" s="73">
        <v>0.0</v>
      </c>
      <c r="J9" s="73">
        <v>1.0</v>
      </c>
      <c r="K9" s="73">
        <v>1.0</v>
      </c>
      <c r="L9" s="73">
        <v>1.5</v>
      </c>
      <c r="M9" s="62"/>
    </row>
    <row r="10">
      <c r="A10" s="7" t="s">
        <v>13</v>
      </c>
      <c r="B10" s="8">
        <v>44174.0</v>
      </c>
      <c r="C10" s="73">
        <v>1.0</v>
      </c>
      <c r="D10" s="73">
        <v>1.0</v>
      </c>
      <c r="E10" s="73">
        <v>0.0</v>
      </c>
      <c r="F10" s="73">
        <v>0.0</v>
      </c>
      <c r="G10" s="73">
        <v>0.0</v>
      </c>
      <c r="H10" s="73">
        <v>1.0</v>
      </c>
      <c r="I10" s="73">
        <v>0.0</v>
      </c>
      <c r="J10" s="73">
        <v>1.0</v>
      </c>
      <c r="K10" s="73">
        <v>1.0</v>
      </c>
      <c r="L10" s="73">
        <v>1.0</v>
      </c>
      <c r="M10" s="62"/>
    </row>
    <row r="11">
      <c r="A11" s="7" t="s">
        <v>14</v>
      </c>
      <c r="B11" s="8">
        <v>44175.0</v>
      </c>
      <c r="C11" s="73">
        <v>1.0</v>
      </c>
      <c r="D11" s="73">
        <v>1.0</v>
      </c>
      <c r="E11" s="73">
        <v>0.0</v>
      </c>
      <c r="F11" s="73">
        <v>0.0</v>
      </c>
      <c r="G11" s="73">
        <v>1.0</v>
      </c>
      <c r="H11" s="73">
        <v>1.0</v>
      </c>
      <c r="I11" s="73">
        <v>0.0</v>
      </c>
      <c r="J11" s="73">
        <v>1.0</v>
      </c>
      <c r="K11" s="73">
        <v>1.0</v>
      </c>
      <c r="L11" s="73">
        <v>1.5</v>
      </c>
      <c r="M11" s="62"/>
    </row>
    <row r="12">
      <c r="A12" s="20" t="s">
        <v>15</v>
      </c>
      <c r="B12" s="70">
        <v>44176.0</v>
      </c>
      <c r="C12" s="71">
        <v>1.0</v>
      </c>
      <c r="D12" s="72">
        <v>0.0</v>
      </c>
      <c r="E12" s="71">
        <v>0.0</v>
      </c>
      <c r="F12" s="71">
        <v>0.0</v>
      </c>
      <c r="G12" s="71">
        <v>1.0</v>
      </c>
      <c r="H12" s="71">
        <v>1.0</v>
      </c>
      <c r="I12" s="71">
        <v>0.0</v>
      </c>
      <c r="J12" s="71">
        <v>1.0</v>
      </c>
      <c r="K12" s="71">
        <v>1.0</v>
      </c>
      <c r="L12" s="71">
        <v>1.5</v>
      </c>
      <c r="M12" s="62"/>
    </row>
    <row r="13">
      <c r="A13" s="7" t="s">
        <v>16</v>
      </c>
      <c r="B13" s="8">
        <v>44177.0</v>
      </c>
      <c r="C13" s="73">
        <v>1.0</v>
      </c>
      <c r="D13" s="73">
        <v>0.0</v>
      </c>
      <c r="E13" s="73">
        <v>0.0</v>
      </c>
      <c r="F13" s="73">
        <v>0.0</v>
      </c>
      <c r="G13" s="73">
        <v>0.0</v>
      </c>
      <c r="H13" s="73">
        <v>1.0</v>
      </c>
      <c r="I13" s="73">
        <v>0.0</v>
      </c>
      <c r="J13" s="73">
        <v>1.0</v>
      </c>
      <c r="K13" s="73">
        <v>1.0</v>
      </c>
      <c r="L13" s="73">
        <v>1.0</v>
      </c>
      <c r="M13" s="62"/>
    </row>
    <row r="14">
      <c r="A14" s="7" t="s">
        <v>17</v>
      </c>
      <c r="B14" s="8">
        <v>44178.0</v>
      </c>
      <c r="C14" s="73">
        <v>0.0</v>
      </c>
      <c r="D14" s="73">
        <v>1.0</v>
      </c>
      <c r="E14" s="73">
        <v>0.0</v>
      </c>
      <c r="F14" s="73">
        <v>0.0</v>
      </c>
      <c r="G14" s="73">
        <v>0.0</v>
      </c>
      <c r="H14" s="73">
        <v>1.0</v>
      </c>
      <c r="I14" s="73">
        <v>1.0</v>
      </c>
      <c r="J14" s="73">
        <v>1.0</v>
      </c>
      <c r="K14" s="73">
        <v>1.0</v>
      </c>
      <c r="L14" s="73">
        <v>1.0</v>
      </c>
      <c r="M14" s="62"/>
    </row>
    <row r="15">
      <c r="A15" s="7" t="s">
        <v>18</v>
      </c>
      <c r="B15" s="8">
        <v>44179.0</v>
      </c>
      <c r="C15" s="73">
        <v>0.0</v>
      </c>
      <c r="D15" s="73">
        <v>1.0</v>
      </c>
      <c r="E15" s="73">
        <v>0.0</v>
      </c>
      <c r="F15" s="73">
        <v>0.0</v>
      </c>
      <c r="G15" s="73">
        <v>0.0</v>
      </c>
      <c r="H15" s="73">
        <v>1.0</v>
      </c>
      <c r="I15" s="73">
        <v>1.0</v>
      </c>
      <c r="J15" s="73">
        <v>1.0</v>
      </c>
      <c r="K15" s="73">
        <v>1.0</v>
      </c>
      <c r="L15" s="73">
        <v>1.0</v>
      </c>
      <c r="M15" s="62"/>
    </row>
    <row r="16">
      <c r="A16" s="7" t="s">
        <v>11</v>
      </c>
      <c r="B16" s="8">
        <v>44180.0</v>
      </c>
      <c r="C16" s="73">
        <v>0.0</v>
      </c>
      <c r="D16" s="73">
        <v>1.0</v>
      </c>
      <c r="E16" s="73">
        <v>0.0</v>
      </c>
      <c r="F16" s="73">
        <v>0.0</v>
      </c>
      <c r="G16" s="73">
        <v>0.0</v>
      </c>
      <c r="H16" s="73">
        <v>1.0</v>
      </c>
      <c r="I16" s="73">
        <v>0.0</v>
      </c>
      <c r="J16" s="73">
        <v>1.0</v>
      </c>
      <c r="K16" s="73">
        <v>1.0</v>
      </c>
      <c r="L16" s="73">
        <v>1.0</v>
      </c>
      <c r="M16" s="62"/>
    </row>
    <row r="17">
      <c r="A17" s="7" t="s">
        <v>13</v>
      </c>
      <c r="B17" s="8">
        <v>44181.0</v>
      </c>
      <c r="C17" s="73">
        <v>1.0</v>
      </c>
      <c r="D17" s="73">
        <v>1.0</v>
      </c>
      <c r="E17" s="73">
        <v>0.0</v>
      </c>
      <c r="F17" s="73">
        <v>0.0</v>
      </c>
      <c r="G17" s="73">
        <v>0.0</v>
      </c>
      <c r="H17" s="73">
        <v>1.0</v>
      </c>
      <c r="I17" s="73">
        <v>1.0</v>
      </c>
      <c r="J17" s="73">
        <v>1.0</v>
      </c>
      <c r="K17" s="73">
        <v>0.0</v>
      </c>
      <c r="L17" s="73">
        <v>1.0</v>
      </c>
      <c r="M17" s="62"/>
    </row>
    <row r="18">
      <c r="A18" s="7" t="s">
        <v>14</v>
      </c>
      <c r="B18" s="8">
        <v>44182.0</v>
      </c>
      <c r="C18" s="73">
        <v>1.0</v>
      </c>
      <c r="D18" s="73">
        <v>1.0</v>
      </c>
      <c r="E18" s="73">
        <v>0.0</v>
      </c>
      <c r="F18" s="73">
        <v>0.0</v>
      </c>
      <c r="G18" s="73">
        <v>1.0</v>
      </c>
      <c r="H18" s="73">
        <v>1.0</v>
      </c>
      <c r="I18" s="73">
        <v>1.0</v>
      </c>
      <c r="J18" s="73">
        <v>1.0</v>
      </c>
      <c r="K18" s="73">
        <v>1.0</v>
      </c>
      <c r="L18" s="73">
        <v>1.0</v>
      </c>
      <c r="M18" s="62"/>
    </row>
    <row r="19">
      <c r="A19" s="20" t="s">
        <v>15</v>
      </c>
      <c r="B19" s="70">
        <v>44183.0</v>
      </c>
      <c r="C19" s="71">
        <v>1.0</v>
      </c>
      <c r="D19" s="72">
        <v>0.0</v>
      </c>
      <c r="E19" s="71">
        <v>0.0</v>
      </c>
      <c r="F19" s="71">
        <v>0.0</v>
      </c>
      <c r="G19" s="71">
        <v>1.0</v>
      </c>
      <c r="H19" s="71">
        <v>0.0</v>
      </c>
      <c r="I19" s="71">
        <v>0.0</v>
      </c>
      <c r="J19" s="71">
        <v>1.0</v>
      </c>
      <c r="K19" s="71">
        <v>1.0</v>
      </c>
      <c r="L19" s="71">
        <v>1.0</v>
      </c>
      <c r="M19" s="62"/>
    </row>
    <row r="20">
      <c r="A20" s="7" t="s">
        <v>16</v>
      </c>
      <c r="B20" s="8">
        <v>44184.0</v>
      </c>
      <c r="C20" s="73">
        <v>1.0</v>
      </c>
      <c r="D20" s="73">
        <v>1.0</v>
      </c>
      <c r="E20" s="73">
        <v>1.0</v>
      </c>
      <c r="F20" s="73">
        <v>0.0</v>
      </c>
      <c r="G20" s="73">
        <v>1.0</v>
      </c>
      <c r="H20" s="73">
        <v>1.0</v>
      </c>
      <c r="I20" s="73">
        <v>1.0</v>
      </c>
      <c r="J20" s="73">
        <v>1.0</v>
      </c>
      <c r="K20" s="73">
        <v>0.0</v>
      </c>
      <c r="L20" s="73">
        <v>1.0</v>
      </c>
      <c r="M20" s="62"/>
    </row>
    <row r="21">
      <c r="A21" s="7" t="s">
        <v>17</v>
      </c>
      <c r="B21" s="8">
        <v>44185.0</v>
      </c>
      <c r="C21" s="73">
        <v>1.0</v>
      </c>
      <c r="D21" s="73">
        <v>1.0</v>
      </c>
      <c r="E21" s="73">
        <v>0.0</v>
      </c>
      <c r="F21" s="73">
        <v>0.0</v>
      </c>
      <c r="G21" s="73">
        <v>0.0</v>
      </c>
      <c r="H21" s="73">
        <v>1.0</v>
      </c>
      <c r="I21" s="73">
        <v>1.0</v>
      </c>
      <c r="J21" s="73">
        <v>1.0</v>
      </c>
      <c r="K21" s="73">
        <v>1.0</v>
      </c>
      <c r="L21" s="73">
        <v>1.0</v>
      </c>
      <c r="M21" s="62"/>
    </row>
    <row r="22">
      <c r="A22" s="7" t="s">
        <v>18</v>
      </c>
      <c r="B22" s="8">
        <v>44186.0</v>
      </c>
      <c r="C22" s="73">
        <v>1.0</v>
      </c>
      <c r="D22" s="73">
        <v>1.0</v>
      </c>
      <c r="E22" s="73">
        <v>0.0</v>
      </c>
      <c r="F22" s="73">
        <v>0.0</v>
      </c>
      <c r="G22" s="73">
        <v>0.0</v>
      </c>
      <c r="H22" s="73">
        <v>1.0</v>
      </c>
      <c r="I22" s="73">
        <v>1.0</v>
      </c>
      <c r="J22" s="73">
        <v>1.0</v>
      </c>
      <c r="K22" s="73">
        <v>1.0</v>
      </c>
      <c r="L22" s="73">
        <v>1.0</v>
      </c>
      <c r="M22" s="62"/>
    </row>
    <row r="23">
      <c r="A23" s="7" t="s">
        <v>11</v>
      </c>
      <c r="B23" s="8">
        <v>44187.0</v>
      </c>
      <c r="C23" s="73">
        <v>1.0</v>
      </c>
      <c r="D23" s="73">
        <v>1.0</v>
      </c>
      <c r="E23" s="73">
        <v>0.0</v>
      </c>
      <c r="F23" s="73">
        <v>0.0</v>
      </c>
      <c r="G23" s="73">
        <v>0.0</v>
      </c>
      <c r="H23" s="73">
        <v>1.0</v>
      </c>
      <c r="I23" s="73">
        <v>1.0</v>
      </c>
      <c r="J23" s="73">
        <v>1.0</v>
      </c>
      <c r="K23" s="73">
        <v>1.0</v>
      </c>
      <c r="L23" s="73">
        <v>1.0</v>
      </c>
      <c r="M23" s="62"/>
    </row>
    <row r="24">
      <c r="A24" s="7" t="s">
        <v>13</v>
      </c>
      <c r="B24" s="8">
        <v>44188.0</v>
      </c>
      <c r="C24" s="74">
        <v>1.0</v>
      </c>
      <c r="D24" s="74">
        <v>1.0</v>
      </c>
      <c r="E24" s="74">
        <v>0.0</v>
      </c>
      <c r="F24" s="74">
        <v>0.0</v>
      </c>
      <c r="G24" s="74">
        <v>1.0</v>
      </c>
      <c r="H24" s="74">
        <v>1.0</v>
      </c>
      <c r="I24" s="74">
        <v>1.0</v>
      </c>
      <c r="J24" s="74">
        <v>1.0</v>
      </c>
      <c r="K24" s="74">
        <v>1.0</v>
      </c>
      <c r="L24" s="74">
        <v>1.0</v>
      </c>
      <c r="M24" s="62"/>
    </row>
    <row r="25">
      <c r="A25" s="7" t="s">
        <v>14</v>
      </c>
      <c r="B25" s="8">
        <v>44189.0</v>
      </c>
      <c r="C25" s="74">
        <v>1.0</v>
      </c>
      <c r="D25" s="74">
        <v>1.0</v>
      </c>
      <c r="E25" s="74">
        <v>0.0</v>
      </c>
      <c r="F25" s="74">
        <v>0.0</v>
      </c>
      <c r="G25" s="74">
        <v>1.0</v>
      </c>
      <c r="H25" s="74">
        <v>1.0</v>
      </c>
      <c r="I25" s="74">
        <v>1.0</v>
      </c>
      <c r="J25" s="74">
        <v>1.0</v>
      </c>
      <c r="K25" s="74">
        <v>1.0</v>
      </c>
      <c r="L25" s="74">
        <v>1.0</v>
      </c>
      <c r="M25" s="62"/>
    </row>
    <row r="26">
      <c r="A26" s="20" t="s">
        <v>15</v>
      </c>
      <c r="B26" s="70">
        <v>44190.0</v>
      </c>
      <c r="C26" s="75">
        <v>1.0</v>
      </c>
      <c r="D26" s="76">
        <v>0.0</v>
      </c>
      <c r="E26" s="75">
        <v>0.0</v>
      </c>
      <c r="F26" s="75">
        <v>0.0</v>
      </c>
      <c r="G26" s="75">
        <v>0.0</v>
      </c>
      <c r="H26" s="75">
        <v>0.0</v>
      </c>
      <c r="I26" s="75">
        <v>0.0</v>
      </c>
      <c r="J26" s="75">
        <v>0.0</v>
      </c>
      <c r="K26" s="75">
        <v>1.0</v>
      </c>
      <c r="L26" s="75">
        <v>1.0</v>
      </c>
      <c r="M26" s="62"/>
    </row>
    <row r="27">
      <c r="A27" s="7" t="s">
        <v>16</v>
      </c>
      <c r="B27" s="8">
        <v>44191.0</v>
      </c>
      <c r="C27" s="74">
        <v>1.0</v>
      </c>
      <c r="D27" s="74">
        <v>1.0</v>
      </c>
      <c r="E27" s="74">
        <v>0.0</v>
      </c>
      <c r="F27" s="74">
        <v>0.0</v>
      </c>
      <c r="G27" s="74">
        <v>0.0</v>
      </c>
      <c r="H27" s="74">
        <v>1.0</v>
      </c>
      <c r="I27" s="74">
        <v>1.0</v>
      </c>
      <c r="J27" s="74">
        <v>1.0</v>
      </c>
      <c r="K27" s="74">
        <v>0.0</v>
      </c>
      <c r="L27" s="74">
        <v>1.0</v>
      </c>
      <c r="M27" s="62"/>
    </row>
    <row r="28">
      <c r="A28" s="7" t="s">
        <v>17</v>
      </c>
      <c r="B28" s="8">
        <v>44192.0</v>
      </c>
      <c r="C28" s="74">
        <v>1.0</v>
      </c>
      <c r="D28" s="74">
        <v>1.0</v>
      </c>
      <c r="E28" s="74">
        <v>0.0</v>
      </c>
      <c r="F28" s="74">
        <v>0.0</v>
      </c>
      <c r="G28" s="74">
        <v>0.0</v>
      </c>
      <c r="H28" s="74">
        <v>1.0</v>
      </c>
      <c r="I28" s="74">
        <v>1.0</v>
      </c>
      <c r="J28" s="74">
        <v>1.0</v>
      </c>
      <c r="K28" s="74">
        <v>1.0</v>
      </c>
      <c r="L28" s="74">
        <v>1.0</v>
      </c>
      <c r="M28" s="62"/>
    </row>
    <row r="29">
      <c r="A29" s="7" t="s">
        <v>18</v>
      </c>
      <c r="B29" s="8">
        <v>44193.0</v>
      </c>
      <c r="C29" s="74">
        <v>1.0</v>
      </c>
      <c r="D29" s="74">
        <v>1.0</v>
      </c>
      <c r="E29" s="74">
        <v>0.0</v>
      </c>
      <c r="F29" s="74">
        <v>0.0</v>
      </c>
      <c r="G29" s="74">
        <v>0.0</v>
      </c>
      <c r="H29" s="74">
        <v>1.0</v>
      </c>
      <c r="I29" s="74">
        <v>1.0</v>
      </c>
      <c r="J29" s="74">
        <v>1.0</v>
      </c>
      <c r="K29" s="74">
        <v>1.0</v>
      </c>
      <c r="L29" s="74">
        <v>1.0</v>
      </c>
      <c r="M29" s="62"/>
    </row>
    <row r="30">
      <c r="A30" s="7" t="s">
        <v>11</v>
      </c>
      <c r="B30" s="8">
        <v>44194.0</v>
      </c>
      <c r="C30" s="77">
        <v>1.0</v>
      </c>
      <c r="D30" s="77">
        <v>1.0</v>
      </c>
      <c r="E30" s="77">
        <v>0.0</v>
      </c>
      <c r="F30" s="77">
        <v>0.0</v>
      </c>
      <c r="G30" s="77">
        <v>0.0</v>
      </c>
      <c r="H30" s="77">
        <v>1.0</v>
      </c>
      <c r="I30" s="77">
        <v>1.0</v>
      </c>
      <c r="J30" s="77">
        <v>1.0</v>
      </c>
      <c r="K30" s="77">
        <v>1.0</v>
      </c>
      <c r="L30" s="77">
        <v>1.0</v>
      </c>
      <c r="M30" s="62"/>
    </row>
    <row r="31">
      <c r="A31" s="7" t="s">
        <v>13</v>
      </c>
      <c r="B31" s="8">
        <v>44195.0</v>
      </c>
      <c r="C31" s="77">
        <v>1.0</v>
      </c>
      <c r="D31" s="77">
        <v>1.0</v>
      </c>
      <c r="E31" s="77">
        <v>0.0</v>
      </c>
      <c r="F31" s="77">
        <v>1.0</v>
      </c>
      <c r="G31" s="77">
        <v>0.0</v>
      </c>
      <c r="H31" s="77">
        <v>1.0</v>
      </c>
      <c r="I31" s="77">
        <v>1.0</v>
      </c>
      <c r="J31" s="77">
        <v>1.0</v>
      </c>
      <c r="K31" s="77">
        <v>1.0</v>
      </c>
      <c r="L31" s="77">
        <v>1.0</v>
      </c>
      <c r="M31" s="62"/>
    </row>
    <row r="32">
      <c r="A32" s="7" t="s">
        <v>14</v>
      </c>
      <c r="B32" s="8">
        <v>44196.0</v>
      </c>
      <c r="C32" s="78">
        <v>1.0</v>
      </c>
      <c r="D32" s="78">
        <v>1.0</v>
      </c>
      <c r="E32" s="78">
        <v>0.0</v>
      </c>
      <c r="F32" s="78">
        <v>1.0</v>
      </c>
      <c r="G32" s="78">
        <v>0.0</v>
      </c>
      <c r="H32" s="78">
        <v>1.0</v>
      </c>
      <c r="I32" s="78">
        <v>1.0</v>
      </c>
      <c r="J32" s="78">
        <v>0.0</v>
      </c>
      <c r="K32" s="78">
        <v>1.0</v>
      </c>
      <c r="L32" s="78">
        <v>1.0</v>
      </c>
      <c r="M32" s="79"/>
    </row>
    <row r="33">
      <c r="B33" s="80" t="s">
        <v>285</v>
      </c>
      <c r="C33" s="81">
        <f t="shared" ref="C33:L33" si="1">SUM(C2:C32)</f>
        <v>27</v>
      </c>
      <c r="D33" s="81">
        <f t="shared" si="1"/>
        <v>24</v>
      </c>
      <c r="E33" s="81">
        <f t="shared" si="1"/>
        <v>3</v>
      </c>
      <c r="F33" s="81">
        <f t="shared" si="1"/>
        <v>2</v>
      </c>
      <c r="G33" s="81">
        <f t="shared" si="1"/>
        <v>10</v>
      </c>
      <c r="H33" s="81">
        <f t="shared" si="1"/>
        <v>28</v>
      </c>
      <c r="I33" s="81">
        <f t="shared" si="1"/>
        <v>16</v>
      </c>
      <c r="J33" s="81">
        <f t="shared" si="1"/>
        <v>29</v>
      </c>
      <c r="K33" s="81">
        <f t="shared" si="1"/>
        <v>27</v>
      </c>
      <c r="L33" s="81">
        <f t="shared" si="1"/>
        <v>32</v>
      </c>
      <c r="M33" s="62"/>
    </row>
    <row r="34">
      <c r="B34" s="82" t="s">
        <v>286</v>
      </c>
      <c r="C34" s="83">
        <v>1852.0</v>
      </c>
      <c r="D34" s="83">
        <v>1111.0</v>
      </c>
      <c r="E34" s="83">
        <v>900.0</v>
      </c>
      <c r="F34" s="83">
        <v>926.0</v>
      </c>
      <c r="G34" s="83">
        <v>900.0</v>
      </c>
      <c r="H34" s="83">
        <v>1037.0</v>
      </c>
      <c r="I34" s="83">
        <v>800.0</v>
      </c>
      <c r="J34" s="83">
        <v>550.0</v>
      </c>
      <c r="K34" s="83">
        <v>926.0</v>
      </c>
      <c r="L34" s="83">
        <v>1111.0</v>
      </c>
      <c r="M34" s="84">
        <f t="shared" ref="M34:M35" si="3">SUM(C34:L34)</f>
        <v>10113</v>
      </c>
    </row>
    <row r="35">
      <c r="B35" s="85" t="s">
        <v>287</v>
      </c>
      <c r="C35" s="86">
        <f t="shared" ref="C35:K35" si="2">C34*C33</f>
        <v>50004</v>
      </c>
      <c r="D35" s="86">
        <f t="shared" si="2"/>
        <v>26664</v>
      </c>
      <c r="E35" s="86">
        <f t="shared" si="2"/>
        <v>2700</v>
      </c>
      <c r="F35" s="86">
        <f t="shared" si="2"/>
        <v>1852</v>
      </c>
      <c r="G35" s="86">
        <f t="shared" si="2"/>
        <v>9000</v>
      </c>
      <c r="H35" s="87">
        <f t="shared" si="2"/>
        <v>29036</v>
      </c>
      <c r="I35" s="86">
        <f t="shared" si="2"/>
        <v>12800</v>
      </c>
      <c r="J35" s="86">
        <f t="shared" si="2"/>
        <v>15950</v>
      </c>
      <c r="K35" s="86">
        <f t="shared" si="2"/>
        <v>25002</v>
      </c>
      <c r="L35" s="86">
        <f>L33*L34</f>
        <v>35552</v>
      </c>
      <c r="M35" s="63">
        <f t="shared" si="3"/>
        <v>208560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4.75"/>
    <col customWidth="1" min="10" max="10" width="25.63"/>
  </cols>
  <sheetData>
    <row r="13">
      <c r="G13" s="19"/>
      <c r="H13" s="24" t="s">
        <v>288</v>
      </c>
      <c r="I13" s="24" t="s">
        <v>5</v>
      </c>
      <c r="J13" s="24" t="s">
        <v>289</v>
      </c>
    </row>
    <row r="14">
      <c r="G14" s="88">
        <v>1.0</v>
      </c>
      <c r="H14" s="88" t="s">
        <v>275</v>
      </c>
      <c r="I14" s="89">
        <f>Pointage!C35*1</f>
        <v>50004</v>
      </c>
      <c r="J14" s="90">
        <v>50000.0</v>
      </c>
    </row>
    <row r="15">
      <c r="G15" s="88">
        <v>2.0</v>
      </c>
      <c r="H15" s="88" t="s">
        <v>29</v>
      </c>
      <c r="I15" s="89">
        <f>Pointage!H35*1</f>
        <v>29036</v>
      </c>
      <c r="J15" s="90">
        <v>29000.0</v>
      </c>
    </row>
    <row r="16">
      <c r="G16" s="88">
        <v>3.0</v>
      </c>
      <c r="H16" s="88" t="s">
        <v>290</v>
      </c>
      <c r="I16" s="89">
        <f>Pointage!K35*1</f>
        <v>25002</v>
      </c>
      <c r="J16" s="90">
        <v>25000.0</v>
      </c>
    </row>
    <row r="17">
      <c r="G17" s="88">
        <v>4.0</v>
      </c>
      <c r="H17" s="88" t="s">
        <v>291</v>
      </c>
      <c r="I17" s="89">
        <f>Pointage!J35*1</f>
        <v>15950</v>
      </c>
      <c r="J17" s="90">
        <v>16000.0</v>
      </c>
    </row>
    <row r="18">
      <c r="G18" s="88">
        <v>5.0</v>
      </c>
      <c r="H18" s="88" t="s">
        <v>292</v>
      </c>
      <c r="I18" s="89">
        <f>Pointage!E35*1</f>
        <v>2700</v>
      </c>
      <c r="J18" s="90">
        <v>2700.0</v>
      </c>
    </row>
    <row r="19">
      <c r="G19" s="88">
        <v>6.0</v>
      </c>
      <c r="H19" s="88" t="s">
        <v>279</v>
      </c>
      <c r="I19" s="89">
        <f>Pointage!G35*1</f>
        <v>9000</v>
      </c>
      <c r="J19" s="90">
        <v>9000.0</v>
      </c>
    </row>
    <row r="20">
      <c r="G20" s="88">
        <v>7.0</v>
      </c>
      <c r="H20" s="88" t="s">
        <v>276</v>
      </c>
      <c r="I20" s="89">
        <f>Pointage!D35*1</f>
        <v>26664</v>
      </c>
      <c r="J20" s="90">
        <v>26700.0</v>
      </c>
    </row>
    <row r="21">
      <c r="G21" s="53">
        <v>8.0</v>
      </c>
      <c r="H21" s="53" t="s">
        <v>280</v>
      </c>
      <c r="I21" s="89">
        <f>Pointage!I35*1</f>
        <v>12800</v>
      </c>
      <c r="J21" s="90">
        <v>12800.0</v>
      </c>
    </row>
    <row r="22">
      <c r="G22" s="53">
        <v>9.0</v>
      </c>
      <c r="H22" s="88" t="s">
        <v>283</v>
      </c>
      <c r="I22" s="89">
        <f>Pointage!L35*1</f>
        <v>35552</v>
      </c>
      <c r="J22" s="90">
        <v>35000.0</v>
      </c>
    </row>
    <row r="23">
      <c r="G23" s="62"/>
      <c r="H23" s="91" t="s">
        <v>30</v>
      </c>
      <c r="I23" s="92">
        <f t="shared" ref="I23:J23" si="1">SUM(I14:I22)</f>
        <v>206708</v>
      </c>
      <c r="J23" s="93">
        <f t="shared" si="1"/>
        <v>206200</v>
      </c>
    </row>
    <row r="24">
      <c r="G24" s="62"/>
      <c r="H24" s="94"/>
      <c r="I24" s="95">
        <f>I23-J23</f>
        <v>508</v>
      </c>
      <c r="J24" s="96"/>
    </row>
  </sheetData>
  <drawing r:id="rId1"/>
</worksheet>
</file>