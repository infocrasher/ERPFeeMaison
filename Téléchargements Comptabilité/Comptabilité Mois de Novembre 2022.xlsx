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Les salaires 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<sst xmlns="http://schemas.openxmlformats.org/spreadsheetml/2006/main" count="559" uniqueCount="302">
  <si>
    <t>Date</t>
  </si>
  <si>
    <t>Recette d'Octobre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</si>
  <si>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</si>
  <si>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</si>
  <si>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</si>
  <si>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</si>
  <si>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</si>
  <si>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</si>
  <si>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</si>
  <si>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octobre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</si>
  <si>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</si>
  <si>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</si>
  <si>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</si>
  <si>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</si>
  <si>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Mardi</t>
  </si>
  <si>
    <t>Mercredi</t>
  </si>
  <si>
    <t>Jeudi</t>
  </si>
  <si>
    <t xml:space="preserve">Moyenne des charges par jour </t>
  </si>
  <si>
    <t xml:space="preserve">Objectif </t>
  </si>
  <si>
    <t>Vendredi</t>
  </si>
  <si>
    <t>Samedi</t>
  </si>
  <si>
    <t>²</t>
  </si>
  <si>
    <t>Dimanche</t>
  </si>
  <si>
    <t>Lundi</t>
  </si>
  <si>
    <t xml:space="preserve">Cash restant </t>
  </si>
  <si>
    <t>Magasin</t>
  </si>
  <si>
    <t xml:space="preserve">caisse </t>
  </si>
  <si>
    <t>cash en attente pour le récupérer =Dettes éxterieurs</t>
  </si>
  <si>
    <t xml:space="preserve"> </t>
  </si>
  <si>
    <t>Sofiane: 120000+500000+16000+8000</t>
  </si>
  <si>
    <t>loyer</t>
  </si>
  <si>
    <t>CCP.: 12000+43000</t>
  </si>
  <si>
    <t>Abdou:4000</t>
  </si>
  <si>
    <t>mokrani: 20000</t>
  </si>
  <si>
    <t>Sofiane Loyer Magasin</t>
  </si>
  <si>
    <t xml:space="preserve">Différence mois d'Aout </t>
  </si>
  <si>
    <t xml:space="preserve">Différence objectif </t>
  </si>
  <si>
    <t xml:space="preserve">Les vendredis </t>
  </si>
  <si>
    <t>Cash réel</t>
  </si>
  <si>
    <t>rest à payer</t>
  </si>
  <si>
    <t>Mois d'Octobre</t>
  </si>
  <si>
    <t xml:space="preserve">La différence </t>
  </si>
  <si>
    <t>NOV</t>
  </si>
  <si>
    <t>OBJ</t>
  </si>
  <si>
    <t>OCT</t>
  </si>
  <si>
    <t xml:space="preserve">Nadjet </t>
  </si>
  <si>
    <t xml:space="preserve">Hafida </t>
  </si>
  <si>
    <t>Wahiba</t>
  </si>
  <si>
    <t>Rania/Fella</t>
  </si>
  <si>
    <t>djamila</t>
  </si>
  <si>
    <t>Farida</t>
  </si>
  <si>
    <t>Yousera</t>
  </si>
  <si>
    <t>Lynda</t>
  </si>
  <si>
    <t>Kenza</t>
  </si>
  <si>
    <t>Fouzia</t>
  </si>
  <si>
    <t xml:space="preserve">SAmira </t>
  </si>
  <si>
    <t>Karima/Alia</t>
  </si>
  <si>
    <t xml:space="preserve">Yasmine </t>
  </si>
  <si>
    <t>Extra</t>
  </si>
  <si>
    <t>Remarque</t>
  </si>
  <si>
    <t>Produit</t>
  </si>
  <si>
    <t>Quantité</t>
  </si>
  <si>
    <t xml:space="preserve">Prix unitaire </t>
  </si>
  <si>
    <t>Prix</t>
  </si>
  <si>
    <t>Date d'achat</t>
  </si>
  <si>
    <t>oeuf</t>
  </si>
  <si>
    <t xml:space="preserve">Tomate conserve </t>
  </si>
  <si>
    <t>sel</t>
  </si>
  <si>
    <t>amandes</t>
  </si>
  <si>
    <t>miel 5kg</t>
  </si>
  <si>
    <t>sac croissant 24</t>
  </si>
  <si>
    <t>sac croissant 14</t>
  </si>
  <si>
    <t>sac croissant 6</t>
  </si>
  <si>
    <t xml:space="preserve">sucre glace Houda </t>
  </si>
  <si>
    <t>djeldjelane</t>
  </si>
  <si>
    <t>poivre noir</t>
  </si>
  <si>
    <t>kousseber moulu</t>
  </si>
  <si>
    <t>raisins sec</t>
  </si>
  <si>
    <t>ifruit</t>
  </si>
  <si>
    <t>Semoule fine Amor Ben Amor</t>
  </si>
  <si>
    <t>Farine Maria 1kg</t>
  </si>
  <si>
    <t>farine agrodive 5kg</t>
  </si>
  <si>
    <t xml:space="preserve">wedjedane au lait et noir </t>
  </si>
  <si>
    <t>eau minéral lala khedidja 0.5litre</t>
  </si>
  <si>
    <t>Jus Tchina 33cl</t>
  </si>
  <si>
    <t xml:space="preserve">sucre cristalisé 25kg </t>
  </si>
  <si>
    <t>Maiis 850g</t>
  </si>
  <si>
    <t>thon le gou 2kg</t>
  </si>
  <si>
    <t>gouda barre</t>
  </si>
  <si>
    <t xml:space="preserve">cheddar </t>
  </si>
  <si>
    <t>fromage blanc  1.8kg</t>
  </si>
  <si>
    <t xml:space="preserve">fromage rouge  </t>
  </si>
  <si>
    <t xml:space="preserve">fromage slices </t>
  </si>
  <si>
    <t>fromage bidon 3,8</t>
  </si>
  <si>
    <t>coca cannette</t>
  </si>
  <si>
    <t>Fanta fraise et sprite</t>
  </si>
  <si>
    <t xml:space="preserve">coca fanta sprit petit bouteille </t>
  </si>
  <si>
    <t xml:space="preserve">Amina Baghrir </t>
  </si>
  <si>
    <t xml:space="preserve">huiles 2 litres </t>
  </si>
  <si>
    <t>semoule Sim 10kg</t>
  </si>
  <si>
    <t>semoule moyenne Sim 2kg</t>
  </si>
  <si>
    <t>3akeri</t>
  </si>
  <si>
    <t>papier aluminium</t>
  </si>
  <si>
    <t>sachets blanc 5kg</t>
  </si>
  <si>
    <t>cerise confis</t>
  </si>
  <si>
    <t>sachet de congélation 3kg</t>
  </si>
  <si>
    <t xml:space="preserve">Huile 5 litres </t>
  </si>
  <si>
    <t>lait en poudre 500g</t>
  </si>
  <si>
    <t>Chocolat au Lait</t>
  </si>
  <si>
    <t>Chocolat noisette</t>
  </si>
  <si>
    <t xml:space="preserve">chocolat blanc wedjedane </t>
  </si>
  <si>
    <t>semoule Mama 2kg</t>
  </si>
  <si>
    <t>boites alum petite</t>
  </si>
  <si>
    <t xml:space="preserve">pate à filo </t>
  </si>
  <si>
    <t>les boites pour sauce</t>
  </si>
  <si>
    <t>semoule moyenne 25kg</t>
  </si>
  <si>
    <t xml:space="preserve"> bidon olive de 5kg</t>
  </si>
  <si>
    <t>tofia 3kg</t>
  </si>
  <si>
    <t>dentelle</t>
  </si>
  <si>
    <t>Sucre cristaliser 25kg</t>
  </si>
  <si>
    <t xml:space="preserve">Fromage spécial pizza </t>
  </si>
  <si>
    <t>Semen Madina 1.8kg</t>
  </si>
  <si>
    <t>Margarine Fleurial 500g 16 boites</t>
  </si>
  <si>
    <t>Margarine Fleurial 250g 40 boites</t>
  </si>
  <si>
    <t>Semoule Moyenne Amor Ben Amor 5kg</t>
  </si>
  <si>
    <t>huile d'olive</t>
  </si>
  <si>
    <t>levure  boulangère</t>
  </si>
  <si>
    <t xml:space="preserve">boite polystérène </t>
  </si>
  <si>
    <t>Mayonaise+ kutchup</t>
  </si>
  <si>
    <t>levure chimique</t>
  </si>
  <si>
    <t>Confiture 1kg</t>
  </si>
  <si>
    <t xml:space="preserve">rechta </t>
  </si>
  <si>
    <t xml:space="preserve">cuisses </t>
  </si>
  <si>
    <t>bessel</t>
  </si>
  <si>
    <t>tomate fraiche</t>
  </si>
  <si>
    <t>poivr+ poivron</t>
  </si>
  <si>
    <t>courgette + navet</t>
  </si>
  <si>
    <t xml:space="preserve">blanc de poulet </t>
  </si>
  <si>
    <t>gheress</t>
  </si>
  <si>
    <t xml:space="preserve">semoule fine  </t>
  </si>
  <si>
    <t xml:space="preserve">salade </t>
  </si>
  <si>
    <t>serpièree + eau de javel+ omo + isis</t>
  </si>
  <si>
    <t xml:space="preserve">Les légumes : courgette + carrote + poivron + tomate </t>
  </si>
  <si>
    <t xml:space="preserve">cuisses de poulet </t>
  </si>
  <si>
    <t>boites 48/10  50</t>
  </si>
  <si>
    <t>boites 48/07   50</t>
  </si>
  <si>
    <t>boites 36/  50</t>
  </si>
  <si>
    <t xml:space="preserve">maa zehar </t>
  </si>
  <si>
    <t>barquette aluminium 100</t>
  </si>
  <si>
    <t>barquette aluminium 1185</t>
  </si>
  <si>
    <t>semoule fine sosimie 2kg</t>
  </si>
  <si>
    <t>fromage +poichiche</t>
  </si>
  <si>
    <t>canette pepes</t>
  </si>
  <si>
    <t>les achats</t>
  </si>
  <si>
    <t>03/102022</t>
  </si>
  <si>
    <t xml:space="preserve">légumes </t>
  </si>
  <si>
    <t>viande hachée</t>
  </si>
  <si>
    <t xml:space="preserve">hamissa </t>
  </si>
  <si>
    <t>storm</t>
  </si>
  <si>
    <t>poulet haché</t>
  </si>
  <si>
    <t>deyoul</t>
  </si>
  <si>
    <t>tomate</t>
  </si>
  <si>
    <t xml:space="preserve">poivre  </t>
  </si>
  <si>
    <t>boite demie plateau</t>
  </si>
  <si>
    <t>boite plateau</t>
  </si>
  <si>
    <t>semoule fine mama</t>
  </si>
  <si>
    <t>ka3ek nakach</t>
  </si>
  <si>
    <t>06/11/200022</t>
  </si>
  <si>
    <t>viande morceaux</t>
  </si>
  <si>
    <t>semoule Fine Mama 25kg</t>
  </si>
  <si>
    <t>Transport</t>
  </si>
  <si>
    <t>oeufs</t>
  </si>
  <si>
    <t>Gheress</t>
  </si>
  <si>
    <t>Maizina</t>
  </si>
  <si>
    <t>farine Sim 1kg</t>
  </si>
  <si>
    <t>pistache</t>
  </si>
  <si>
    <t>olive</t>
  </si>
  <si>
    <t xml:space="preserve">tomate fraiche </t>
  </si>
  <si>
    <t xml:space="preserve">tomate </t>
  </si>
  <si>
    <t>épinard</t>
  </si>
  <si>
    <t>pain tacos</t>
  </si>
  <si>
    <t>fromage + camembert</t>
  </si>
  <si>
    <t>cuisse de poulet</t>
  </si>
  <si>
    <t xml:space="preserve">fromages </t>
  </si>
  <si>
    <t>isis</t>
  </si>
  <si>
    <t>poubelle</t>
  </si>
  <si>
    <t>1011/2022</t>
  </si>
  <si>
    <t>viande</t>
  </si>
  <si>
    <t>boite sauce</t>
  </si>
  <si>
    <t xml:space="preserve">boites </t>
  </si>
  <si>
    <t>Amandes</t>
  </si>
  <si>
    <t>Noix</t>
  </si>
  <si>
    <t>sanoudj</t>
  </si>
  <si>
    <t xml:space="preserve">plateaux </t>
  </si>
  <si>
    <t>cuise de poulet</t>
  </si>
  <si>
    <t>détergents</t>
  </si>
  <si>
    <t xml:space="preserve">boite </t>
  </si>
  <si>
    <t>boites leben</t>
  </si>
  <si>
    <t xml:space="preserve">viande </t>
  </si>
  <si>
    <t>épinard+ coriandre + thym</t>
  </si>
  <si>
    <t>viande hachéé</t>
  </si>
  <si>
    <t>Semoule Mama 1kg</t>
  </si>
  <si>
    <t xml:space="preserve">fromage blancpièces </t>
  </si>
  <si>
    <t>fromage ; cheddar gouda</t>
  </si>
  <si>
    <t>chocolat à tartiner</t>
  </si>
  <si>
    <t>verrines</t>
  </si>
  <si>
    <t>chantillé</t>
  </si>
  <si>
    <t xml:space="preserve">pain </t>
  </si>
  <si>
    <t>vingrette</t>
  </si>
  <si>
    <t>cuisses</t>
  </si>
  <si>
    <t>plateaux + rubans</t>
  </si>
  <si>
    <t>djeldjelan</t>
  </si>
  <si>
    <t>poivre+ poivrons</t>
  </si>
  <si>
    <t>bessel wera9</t>
  </si>
  <si>
    <t>citron</t>
  </si>
  <si>
    <t>barquettes aluminium</t>
  </si>
  <si>
    <t>boites raiib</t>
  </si>
  <si>
    <t>boites</t>
  </si>
  <si>
    <t>thé</t>
  </si>
  <si>
    <t>cafée</t>
  </si>
  <si>
    <t>riz</t>
  </si>
  <si>
    <t>petit boites</t>
  </si>
  <si>
    <t xml:space="preserve">Nadjet corbeille </t>
  </si>
  <si>
    <t>poivre + poivron+tomate</t>
  </si>
  <si>
    <t>storm internet</t>
  </si>
  <si>
    <t>neslet</t>
  </si>
  <si>
    <t>18/11/2022</t>
  </si>
  <si>
    <t>saumon</t>
  </si>
  <si>
    <t>fromage à tartiner</t>
  </si>
  <si>
    <t>semoule mama 1kg</t>
  </si>
  <si>
    <t>boites de raib</t>
  </si>
  <si>
    <t>flexy internet</t>
  </si>
  <si>
    <t>fromage bidon 2.2kg</t>
  </si>
  <si>
    <t>19/11/2022</t>
  </si>
  <si>
    <t>fromage bidon 3.8kg</t>
  </si>
  <si>
    <t xml:space="preserve">fromage gouda </t>
  </si>
  <si>
    <t xml:space="preserve">thon </t>
  </si>
  <si>
    <t>semoule mama moyen</t>
  </si>
  <si>
    <t>20/11/2022</t>
  </si>
  <si>
    <t>levure nouara</t>
  </si>
  <si>
    <t>sucre glace 1kg</t>
  </si>
  <si>
    <t>papier cuisson</t>
  </si>
  <si>
    <t>cuiises de poulet</t>
  </si>
  <si>
    <t xml:space="preserve">les boites </t>
  </si>
  <si>
    <t>plateau</t>
  </si>
  <si>
    <t xml:space="preserve">semoule Mama moyenne </t>
  </si>
  <si>
    <t xml:space="preserve">amande </t>
  </si>
  <si>
    <t xml:space="preserve">courgette </t>
  </si>
  <si>
    <t>carotte</t>
  </si>
  <si>
    <t>kheyar</t>
  </si>
  <si>
    <t xml:space="preserve">poivre </t>
  </si>
  <si>
    <t>barquette</t>
  </si>
  <si>
    <t>hachiche</t>
  </si>
  <si>
    <t xml:space="preserve">frik </t>
  </si>
  <si>
    <t>épice</t>
  </si>
  <si>
    <t>24/11/2022</t>
  </si>
  <si>
    <t>assiette</t>
  </si>
  <si>
    <t>herbes + épinards</t>
  </si>
  <si>
    <t>feuiilee d'or</t>
  </si>
  <si>
    <t>viande d'agneau</t>
  </si>
  <si>
    <t>poulett</t>
  </si>
  <si>
    <t>navet et caroote</t>
  </si>
  <si>
    <t>foie</t>
  </si>
  <si>
    <t>berkoukess</t>
  </si>
  <si>
    <t xml:space="preserve">tomate salade </t>
  </si>
  <si>
    <t>poulet</t>
  </si>
  <si>
    <t>26/11/2022</t>
  </si>
  <si>
    <t xml:space="preserve">Nom </t>
  </si>
  <si>
    <t>Avance</t>
  </si>
  <si>
    <t xml:space="preserve">Salaire à payer </t>
  </si>
  <si>
    <t>Sofiane</t>
  </si>
  <si>
    <t>20000+10000</t>
  </si>
  <si>
    <t>Amel</t>
  </si>
  <si>
    <t>Nadjet</t>
  </si>
  <si>
    <t>3600+1200</t>
  </si>
  <si>
    <t>Rania</t>
  </si>
  <si>
    <t xml:space="preserve">Djamila </t>
  </si>
  <si>
    <t xml:space="preserve">Farida </t>
  </si>
  <si>
    <t xml:space="preserve">Yousera </t>
  </si>
  <si>
    <t>4000+10000</t>
  </si>
  <si>
    <t xml:space="preserve">lynda </t>
  </si>
  <si>
    <t>Karima</t>
  </si>
  <si>
    <t>Samira</t>
  </si>
  <si>
    <t xml:space="preserve">Fouzia </t>
  </si>
  <si>
    <t>TOTAL</t>
  </si>
  <si>
    <t>Mois de Juillet</t>
  </si>
  <si>
    <t xml:space="preserve">Mois d'Aout </t>
  </si>
  <si>
    <t xml:space="preserve">Mois de Septembre </t>
  </si>
  <si>
    <t xml:space="preserve">Mois de Novembre </t>
  </si>
  <si>
    <t>Salaires</t>
  </si>
  <si>
    <t xml:space="preserve">Profit Net </t>
  </si>
  <si>
    <t>Mois</t>
  </si>
  <si>
    <t>CA</t>
  </si>
  <si>
    <t>Charge %</t>
  </si>
  <si>
    <t>Salaire %</t>
  </si>
  <si>
    <t>Loyer %</t>
  </si>
  <si>
    <t>Bénef %</t>
  </si>
  <si>
    <t>SEP</t>
  </si>
  <si>
    <t>1 657 000</t>
  </si>
  <si>
    <t>1 921 000</t>
  </si>
  <si>
    <t>1 706 000</t>
  </si>
  <si>
    <t>2 030 000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</si>
</sst>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/m/yyyy"/>
  </numFmts>
  <fonts count="25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18.0"/>
      <color rgb="FFFFFF00"/>
      <name val="Arial"/>
    </font>
    <font>
      <b/>
      <sz val="14.0"/>
      <color rgb="FF4285F4"/>
      <name val="Arial"/>
    </font>
    <font>
      <sz val="14.0"/>
      <color rgb="FFFF0000"/>
      <name val="Arial"/>
    </font>
    <font>
      <b/>
      <sz val="14.0"/>
      <color rgb="FFFF0000"/>
      <name val="Arial"/>
    </font>
    <font>
      <sz val="14.0"/>
      <color rgb="FF434343"/>
      <name val="Arial"/>
    </font>
    <font>
      <sz val="14.0"/>
      <color rgb="FF4285F4"/>
      <name val="Arial"/>
    </font>
    <font>
      <b/>
      <sz val="18.0"/>
      <color rgb="FF000000"/>
      <name val="Arial"/>
    </font>
    <font>
      <b/>
      <sz val="18.0"/>
      <color rgb="FF00FF00"/>
      <name val="Arial"/>
    </font>
    <font>
      <b/>
      <sz val="18.0"/>
      <color rgb="FF434343"/>
      <name val="Arial"/>
    </font>
    <font>
      <b/>
      <sz val="14.0"/>
      <color rgb="FF1C4587"/>
      <name val="Arial"/>
    </font>
    <font>
      <b/>
      <sz val="18.0"/>
      <color rgb="FF1C4587"/>
      <name val="Arial"/>
    </font>
    <font>
      <b/>
      <sz val="24.0"/>
      <color theme="1"/>
      <name val="Arial"/>
    </font>
    <font>
      <sz val="18.0"/>
      <color theme="1"/>
      <name val="Arial"/>
    </font>
    <font>
      <sz val="18.0"/>
      <color rgb="FFFF00FF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6.0"/>
      <color theme="1"/>
      <name val="Calibri"/>
    </font>
    <font>
      <b/>
      <sz val="16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70AD47"/>
        <bgColor rgb="FF70AD47"/>
      </patternFill>
    </fill>
    <fill>
      <patternFill patternType="solid">
        <fgColor rgb="FFB4C6E7"/>
        <bgColor rgb="FFB4C6E7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3" fillId="3" fontId="3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readingOrder="0" vertical="bottom"/>
    </xf>
    <xf borderId="4" fillId="6" fontId="4" numFmtId="0" xfId="0" applyAlignment="1" applyBorder="1" applyFill="1" applyFont="1">
      <alignment horizontal="center" vertical="bottom"/>
    </xf>
    <xf borderId="0" fillId="7" fontId="4" numFmtId="0" xfId="0" applyAlignment="1" applyFill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5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3" fillId="3" fontId="1" numFmtId="165" xfId="0" applyAlignment="1" applyBorder="1" applyFont="1" applyNumberFormat="1">
      <alignment vertical="bottom"/>
    </xf>
    <xf borderId="6" fillId="3" fontId="3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left" vertical="bottom"/>
    </xf>
    <xf borderId="5" fillId="3" fontId="3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7" fontId="4" numFmtId="0" xfId="0" applyAlignment="1" applyBorder="1" applyFont="1">
      <alignment horizontal="center" vertical="bottom"/>
    </xf>
    <xf borderId="1" fillId="7" fontId="4" numFmtId="165" xfId="0" applyAlignment="1" applyBorder="1" applyFont="1" applyNumberFormat="1">
      <alignment horizontal="center" vertical="bottom"/>
    </xf>
    <xf borderId="5" fillId="7" fontId="2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6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4" fillId="0" fontId="3" numFmtId="0" xfId="0" applyAlignment="1" applyBorder="1" applyFont="1">
      <alignment shrinkToFit="0" vertical="bottom" wrapText="0"/>
    </xf>
    <xf borderId="1" fillId="7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3" fontId="3" numFmtId="165" xfId="0" applyAlignment="1" applyFont="1" applyNumberFormat="1">
      <alignment vertical="bottom"/>
    </xf>
    <xf borderId="4" fillId="0" fontId="3" numFmtId="165" xfId="0" applyAlignment="1" applyBorder="1" applyFont="1" applyNumberFormat="1">
      <alignment vertical="bottom"/>
    </xf>
    <xf borderId="0" fillId="0" fontId="3" numFmtId="165" xfId="0" applyAlignment="1" applyFont="1" applyNumberFormat="1">
      <alignment horizontal="center" readingOrder="0" vertical="bottom"/>
    </xf>
    <xf borderId="1" fillId="6" fontId="5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8" fontId="6" numFmtId="0" xfId="0" applyAlignment="1" applyBorder="1" applyFill="1" applyFon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right" vertical="bottom"/>
    </xf>
    <xf borderId="5" fillId="3" fontId="4" numFmtId="165" xfId="0" applyAlignment="1" applyBorder="1" applyFont="1" applyNumberFormat="1">
      <alignment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5" fillId="2" fontId="2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right" vertical="bottom"/>
    </xf>
    <xf borderId="1" fillId="3" fontId="2" numFmtId="0" xfId="0" applyAlignment="1" applyBorder="1" applyFont="1">
      <alignment horizontal="center" readingOrder="0" vertical="bottom"/>
    </xf>
    <xf borderId="5" fillId="7" fontId="3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vertical="bottom"/>
    </xf>
    <xf borderId="5" fillId="3" fontId="10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1" fillId="8" fontId="12" numFmtId="0" xfId="0" applyAlignment="1" applyBorder="1" applyFont="1">
      <alignment horizontal="center" readingOrder="0" vertical="bottom"/>
    </xf>
    <xf borderId="1" fillId="3" fontId="13" numFmtId="0" xfId="0" applyAlignment="1" applyBorder="1" applyFont="1">
      <alignment horizontal="center" readingOrder="0" vertical="bottom"/>
    </xf>
    <xf borderId="1" fillId="8" fontId="13" numFmtId="0" xfId="0" applyAlignment="1" applyBorder="1" applyFont="1">
      <alignment horizontal="center" readingOrder="0" vertical="bottom"/>
    </xf>
    <xf borderId="0" fillId="3" fontId="10" numFmtId="165" xfId="0" applyAlignment="1" applyFont="1" applyNumberFormat="1">
      <alignment horizontal="center" vertical="bottom"/>
    </xf>
    <xf borderId="5" fillId="3" fontId="10" numFmtId="165" xfId="0" applyAlignment="1" applyBorder="1" applyFont="1" applyNumberFormat="1">
      <alignment horizontal="center" vertical="bottom"/>
    </xf>
    <xf borderId="1" fillId="3" fontId="10" numFmtId="165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vertical="bottom"/>
    </xf>
    <xf borderId="1" fillId="3" fontId="14" numFmtId="165" xfId="0" applyAlignment="1" applyBorder="1" applyFont="1" applyNumberFormat="1">
      <alignment horizontal="center" vertical="bottom"/>
    </xf>
    <xf borderId="1" fillId="3" fontId="10" numFmtId="165" xfId="0" applyAlignment="1" applyBorder="1" applyFont="1" applyNumberFormat="1">
      <alignment horizontal="center" readingOrder="0" vertical="bottom"/>
    </xf>
    <xf borderId="0" fillId="7" fontId="15" numFmtId="165" xfId="0" applyAlignment="1" applyFont="1" applyNumberFormat="1">
      <alignment horizontal="center" vertical="bottom"/>
    </xf>
    <xf borderId="5" fillId="7" fontId="15" numFmtId="165" xfId="0" applyAlignment="1" applyBorder="1" applyFont="1" applyNumberFormat="1">
      <alignment horizontal="center" vertical="bottom"/>
    </xf>
    <xf borderId="1" fillId="7" fontId="15" numFmtId="165" xfId="0" applyAlignment="1" applyBorder="1" applyFont="1" applyNumberFormat="1">
      <alignment horizontal="center" vertical="bottom"/>
    </xf>
    <xf borderId="1" fillId="7" fontId="16" numFmtId="165" xfId="0" applyAlignment="1" applyBorder="1" applyFont="1" applyNumberFormat="1">
      <alignment horizontal="center" vertical="bottom"/>
    </xf>
    <xf borderId="1" fillId="7" fontId="17" numFmtId="0" xfId="0" applyAlignment="1" applyBorder="1" applyFont="1">
      <alignment horizontal="center" vertical="bottom"/>
    </xf>
    <xf borderId="2" fillId="7" fontId="17" numFmtId="0" xfId="0" applyAlignment="1" applyBorder="1" applyFont="1">
      <alignment horizontal="center" vertical="bottom"/>
    </xf>
    <xf borderId="6" fillId="3" fontId="18" numFmtId="0" xfId="0" applyAlignment="1" applyBorder="1" applyFont="1">
      <alignment horizontal="center" vertical="bottom"/>
    </xf>
    <xf borderId="2" fillId="3" fontId="18" numFmtId="0" xfId="0" applyAlignment="1" applyBorder="1" applyFont="1">
      <alignment horizontal="center" vertical="bottom"/>
    </xf>
    <xf borderId="2" fillId="3" fontId="18" numFmtId="165" xfId="0" applyAlignment="1" applyBorder="1" applyFont="1" applyNumberFormat="1">
      <alignment horizontal="center" vertical="bottom"/>
    </xf>
    <xf borderId="2" fillId="3" fontId="18" numFmtId="166" xfId="0" applyAlignment="1" applyBorder="1" applyFont="1" applyNumberFormat="1">
      <alignment horizontal="center" vertical="bottom"/>
    </xf>
    <xf borderId="5" fillId="3" fontId="18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readingOrder="0" vertical="bottom"/>
    </xf>
    <xf borderId="1" fillId="3" fontId="18" numFmtId="0" xfId="0" applyAlignment="1" applyBorder="1" applyFont="1">
      <alignment horizontal="center" vertical="bottom"/>
    </xf>
    <xf borderId="1" fillId="3" fontId="18" numFmtId="165" xfId="0" applyAlignment="1" applyBorder="1" applyFont="1" applyNumberFormat="1">
      <alignment horizontal="center" vertical="bottom"/>
    </xf>
    <xf borderId="1" fillId="3" fontId="18" numFmtId="166" xfId="0" applyAlignment="1" applyBorder="1" applyFont="1" applyNumberFormat="1">
      <alignment horizontal="center" vertical="bottom"/>
    </xf>
    <xf borderId="1" fillId="3" fontId="18" numFmtId="0" xfId="0" applyAlignment="1" applyBorder="1" applyFont="1">
      <alignment readingOrder="0" vertical="bottom"/>
    </xf>
    <xf borderId="1" fillId="3" fontId="18" numFmtId="0" xfId="0" applyAlignment="1" applyBorder="1" applyFont="1">
      <alignment vertical="bottom"/>
    </xf>
    <xf borderId="5" fillId="3" fontId="19" numFmtId="0" xfId="0" applyAlignment="1" applyBorder="1" applyFont="1">
      <alignment horizontal="center" vertical="bottom"/>
    </xf>
    <xf borderId="1" fillId="3" fontId="19" numFmtId="0" xfId="0" applyAlignment="1" applyBorder="1" applyFont="1">
      <alignment horizontal="center" vertical="bottom"/>
    </xf>
    <xf borderId="1" fillId="3" fontId="19" numFmtId="165" xfId="0" applyAlignment="1" applyBorder="1" applyFont="1" applyNumberFormat="1">
      <alignment horizontal="center" vertical="bottom"/>
    </xf>
    <xf borderId="6" fillId="3" fontId="18" numFmtId="0" xfId="0" applyAlignment="1" applyBorder="1" applyFont="1">
      <alignment horizontal="center" readingOrder="0" vertical="bottom"/>
    </xf>
    <xf borderId="2" fillId="3" fontId="18" numFmtId="0" xfId="0" applyAlignment="1" applyBorder="1" applyFont="1">
      <alignment horizontal="center" readingOrder="0" vertical="bottom"/>
    </xf>
    <xf borderId="2" fillId="3" fontId="18" numFmtId="166" xfId="0" applyAlignment="1" applyBorder="1" applyFont="1" applyNumberFormat="1">
      <alignment horizontal="center" readingOrder="0" vertical="bottom"/>
    </xf>
    <xf borderId="6" fillId="8" fontId="18" numFmtId="0" xfId="0" applyAlignment="1" applyBorder="1" applyFont="1">
      <alignment horizontal="center" vertical="bottom"/>
    </xf>
    <xf borderId="2" fillId="8" fontId="18" numFmtId="0" xfId="0" applyAlignment="1" applyBorder="1" applyFont="1">
      <alignment horizontal="center" readingOrder="0" vertical="bottom"/>
    </xf>
    <xf borderId="2" fillId="8" fontId="18" numFmtId="0" xfId="0" applyAlignment="1" applyBorder="1" applyFont="1">
      <alignment horizontal="center" vertical="bottom"/>
    </xf>
    <xf borderId="2" fillId="8" fontId="18" numFmtId="165" xfId="0" applyAlignment="1" applyBorder="1" applyFont="1" applyNumberFormat="1">
      <alignment horizontal="center" vertical="bottom"/>
    </xf>
    <xf borderId="2" fillId="8" fontId="18" numFmtId="166" xfId="0" applyAlignment="1" applyBorder="1" applyFont="1" applyNumberFormat="1">
      <alignment horizontal="center" vertical="bottom"/>
    </xf>
    <xf borderId="2" fillId="3" fontId="18" numFmtId="0" xfId="0" applyAlignment="1" applyBorder="1" applyFont="1">
      <alignment horizontal="center" vertical="bottom"/>
    </xf>
    <xf borderId="2" fillId="3" fontId="18" numFmtId="164" xfId="0" applyAlignment="1" applyBorder="1" applyFont="1" applyNumberFormat="1">
      <alignment horizontal="center" vertical="bottom"/>
    </xf>
    <xf borderId="1" fillId="3" fontId="18" numFmtId="0" xfId="0" applyAlignment="1" applyBorder="1" applyFont="1">
      <alignment horizontal="center" vertical="bottom"/>
    </xf>
    <xf borderId="1" fillId="3" fontId="18" numFmtId="164" xfId="0" applyAlignment="1" applyBorder="1" applyFont="1" applyNumberFormat="1">
      <alignment horizontal="center" vertical="bottom"/>
    </xf>
    <xf borderId="5" fillId="5" fontId="18" numFmtId="0" xfId="0" applyAlignment="1" applyBorder="1" applyFont="1">
      <alignment horizontal="center" vertical="bottom"/>
    </xf>
    <xf borderId="1" fillId="5" fontId="18" numFmtId="0" xfId="0" applyAlignment="1" applyBorder="1" applyFont="1">
      <alignment horizontal="center" readingOrder="0" vertical="bottom"/>
    </xf>
    <xf borderId="1" fillId="5" fontId="18" numFmtId="0" xfId="0" applyAlignment="1" applyBorder="1" applyFont="1">
      <alignment horizontal="center" vertical="bottom"/>
    </xf>
    <xf borderId="1" fillId="5" fontId="18" numFmtId="165" xfId="0" applyAlignment="1" applyBorder="1" applyFont="1" applyNumberFormat="1">
      <alignment horizontal="center" vertical="bottom"/>
    </xf>
    <xf borderId="1" fillId="5" fontId="18" numFmtId="164" xfId="0" applyAlignment="1" applyBorder="1" applyFont="1" applyNumberFormat="1">
      <alignment horizontal="center" vertical="bottom"/>
    </xf>
    <xf borderId="6" fillId="0" fontId="18" numFmtId="0" xfId="0" applyAlignment="1" applyBorder="1" applyFont="1">
      <alignment horizontal="center" readingOrder="0" vertical="bottom"/>
    </xf>
    <xf borderId="2" fillId="0" fontId="18" numFmtId="0" xfId="0" applyAlignment="1" applyBorder="1" applyFont="1">
      <alignment horizontal="center" readingOrder="0" vertical="bottom"/>
    </xf>
    <xf borderId="2" fillId="0" fontId="18" numFmtId="164" xfId="0" applyAlignment="1" applyBorder="1" applyFont="1" applyNumberFormat="1">
      <alignment horizontal="center" readingOrder="0" vertical="bottom"/>
    </xf>
    <xf borderId="6" fillId="5" fontId="18" numFmtId="0" xfId="0" applyAlignment="1" applyBorder="1" applyFont="1">
      <alignment horizontal="center" readingOrder="0" vertical="bottom"/>
    </xf>
    <xf borderId="2" fillId="5" fontId="18" numFmtId="0" xfId="0" applyAlignment="1" applyBorder="1" applyFont="1">
      <alignment horizontal="center" readingOrder="0" vertical="bottom"/>
    </xf>
    <xf borderId="2" fillId="5" fontId="18" numFmtId="165" xfId="0" applyAlignment="1" applyBorder="1" applyFont="1" applyNumberFormat="1">
      <alignment horizontal="center" vertical="bottom"/>
    </xf>
    <xf borderId="2" fillId="5" fontId="18" numFmtId="164" xfId="0" applyAlignment="1" applyBorder="1" applyFont="1" applyNumberFormat="1">
      <alignment horizontal="center" readingOrder="0" vertical="bottom"/>
    </xf>
    <xf borderId="2" fillId="0" fontId="18" numFmtId="166" xfId="0" applyAlignment="1" applyBorder="1" applyFont="1" applyNumberFormat="1">
      <alignment horizontal="center" readingOrder="0" vertical="bottom"/>
    </xf>
    <xf borderId="2" fillId="5" fontId="18" numFmtId="165" xfId="0" applyAlignment="1" applyBorder="1" applyFont="1" applyNumberFormat="1">
      <alignment horizontal="center" readingOrder="0" vertical="bottom"/>
    </xf>
    <xf borderId="0" fillId="0" fontId="20" numFmtId="0" xfId="0" applyAlignment="1" applyFont="1">
      <alignment readingOrder="0"/>
    </xf>
    <xf borderId="2" fillId="5" fontId="18" numFmtId="166" xfId="0" applyAlignment="1" applyBorder="1" applyFont="1" applyNumberFormat="1">
      <alignment horizontal="center" readingOrder="0" vertical="bottom"/>
    </xf>
    <xf borderId="2" fillId="0" fontId="18" numFmtId="0" xfId="0" applyAlignment="1" applyBorder="1" applyFont="1">
      <alignment horizontal="center" vertical="bottom"/>
    </xf>
    <xf borderId="6" fillId="6" fontId="18" numFmtId="0" xfId="0" applyAlignment="1" applyBorder="1" applyFont="1">
      <alignment horizontal="center" readingOrder="0" vertical="bottom"/>
    </xf>
    <xf borderId="2" fillId="6" fontId="18" numFmtId="0" xfId="0" applyAlignment="1" applyBorder="1" applyFont="1">
      <alignment horizontal="center" readingOrder="0" vertical="bottom"/>
    </xf>
    <xf borderId="2" fillId="6" fontId="18" numFmtId="165" xfId="0" applyAlignment="1" applyBorder="1" applyFont="1" applyNumberFormat="1">
      <alignment horizontal="center" vertical="bottom"/>
    </xf>
    <xf borderId="2" fillId="0" fontId="18" numFmtId="3" xfId="0" applyAlignment="1" applyBorder="1" applyFont="1" applyNumberFormat="1">
      <alignment horizontal="center" readingOrder="0" vertical="bottom"/>
    </xf>
    <xf borderId="2" fillId="0" fontId="18" numFmtId="165" xfId="0" applyAlignment="1" applyBorder="1" applyFont="1" applyNumberFormat="1">
      <alignment horizontal="center" vertical="bottom"/>
    </xf>
    <xf borderId="1" fillId="0" fontId="18" numFmtId="0" xfId="0" applyAlignment="1" applyBorder="1" applyFont="1">
      <alignment horizontal="center" readingOrder="0" vertical="bottom"/>
    </xf>
    <xf borderId="1" fillId="0" fontId="18" numFmtId="166" xfId="0" applyAlignment="1" applyBorder="1" applyFont="1" applyNumberFormat="1">
      <alignment horizontal="center" readingOrder="0" vertical="bottom"/>
    </xf>
    <xf borderId="1" fillId="0" fontId="18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vertical="bottom"/>
    </xf>
    <xf borderId="2" fillId="0" fontId="18" numFmtId="165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1" fillId="0" fontId="17" numFmtId="165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vertical="bottom"/>
    </xf>
    <xf borderId="2" fillId="5" fontId="2" numFmtId="0" xfId="0" applyAlignment="1" applyBorder="1" applyFont="1">
      <alignment horizontal="center" vertical="bottom"/>
    </xf>
    <xf borderId="2" fillId="6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1" fillId="7" fontId="18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2" fillId="7" fontId="2" numFmtId="0" xfId="0" applyAlignment="1" applyBorder="1" applyFont="1">
      <alignment horizontal="center" vertical="bottom"/>
    </xf>
    <xf borderId="6" fillId="7" fontId="21" numFmtId="0" xfId="0" applyAlignment="1" applyBorder="1" applyFont="1">
      <alignment horizontal="center" readingOrder="0"/>
    </xf>
    <xf borderId="5" fillId="5" fontId="2" numFmtId="0" xfId="0" applyAlignment="1" applyBorder="1" applyFont="1">
      <alignment horizontal="center" vertical="bottom"/>
    </xf>
    <xf borderId="6" fillId="0" fontId="22" numFmtId="165" xfId="0" applyAlignment="1" applyBorder="1" applyFont="1" applyNumberFormat="1">
      <alignment horizontal="center"/>
    </xf>
    <xf borderId="6" fillId="10" fontId="23" numFmtId="0" xfId="0" applyAlignment="1" applyBorder="1" applyFill="1" applyFont="1">
      <alignment vertical="bottom"/>
    </xf>
    <xf borderId="2" fillId="10" fontId="23" numFmtId="0" xfId="0" applyAlignment="1" applyBorder="1" applyFont="1">
      <alignment vertical="bottom"/>
    </xf>
    <xf borderId="5" fillId="0" fontId="24" numFmtId="0" xfId="0" applyAlignment="1" applyBorder="1" applyFont="1">
      <alignment vertical="bottom"/>
    </xf>
    <xf borderId="4" fillId="0" fontId="24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vertical="bottom"/>
    </xf>
    <xf borderId="5" fillId="11" fontId="24" numFmtId="0" xfId="0" applyAlignment="1" applyBorder="1" applyFill="1" applyFont="1">
      <alignment vertical="bottom"/>
    </xf>
    <xf borderId="1" fillId="11" fontId="2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7.63"/>
    <col customWidth="1" min="3" max="3" width="29.63"/>
    <col customWidth="1" min="4" max="4" width="18.63"/>
    <col customWidth="1" min="5" max="5" width="17.63"/>
    <col customWidth="1" min="6" max="6" width="18.38"/>
    <col customWidth="1" min="7" max="7" width="16.88"/>
    <col customWidth="1" min="8" max="8" width="17.38"/>
    <col customWidth="1" min="10" max="10" width="4.88"/>
    <col customWidth="1" min="11" max="11" width="25.63"/>
    <col customWidth="1" min="12" max="12" width="26.13"/>
    <col customWidth="1" min="13" max="13" width="46.88"/>
    <col customWidth="1" min="14" max="14" width="21.13"/>
    <col customWidth="1" min="15" max="15" width="31.38"/>
    <col customWidth="1" min="16" max="16" width="66.8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10" t="s">
        <v>13</v>
      </c>
    </row>
    <row r="2">
      <c r="A2" s="11" t="s">
        <v>14</v>
      </c>
      <c r="B2" s="12">
        <v>44866.0</v>
      </c>
      <c r="C2" s="13">
        <v>50000.0</v>
      </c>
      <c r="D2" s="13">
        <v>2000.0</v>
      </c>
      <c r="E2" s="14"/>
      <c r="F2" s="14"/>
      <c r="G2" s="14"/>
      <c r="H2" s="14"/>
      <c r="I2" s="15">
        <v>0.0</v>
      </c>
      <c r="J2" s="16"/>
      <c r="K2" s="13">
        <v>0.0</v>
      </c>
      <c r="L2" s="17">
        <v>50000.0</v>
      </c>
      <c r="M2" s="18">
        <f>H32/I32</f>
        <v>18644.2069</v>
      </c>
      <c r="N2" s="18">
        <f>D32/I32</f>
        <v>58827.58621</v>
      </c>
      <c r="O2" s="19">
        <f>F32/I32</f>
        <v>11662.2069</v>
      </c>
      <c r="P2" s="20">
        <f>O2/N2</f>
        <v>0.1982438453</v>
      </c>
    </row>
    <row r="3">
      <c r="A3" s="11" t="s">
        <v>15</v>
      </c>
      <c r="B3" s="12">
        <v>44867.0</v>
      </c>
      <c r="C3" s="13">
        <v>51000.0</v>
      </c>
      <c r="D3" s="13">
        <v>52000.0</v>
      </c>
      <c r="E3" s="14"/>
      <c r="F3" s="14"/>
      <c r="G3" s="14"/>
      <c r="H3" s="14"/>
      <c r="I3" s="15">
        <v>1.0</v>
      </c>
      <c r="J3" s="16"/>
      <c r="K3" s="13">
        <v>70000.0</v>
      </c>
      <c r="L3" s="21">
        <v>51000.0</v>
      </c>
      <c r="M3" s="1"/>
      <c r="N3" s="1"/>
      <c r="O3" s="22"/>
      <c r="P3" s="23"/>
    </row>
    <row r="4">
      <c r="A4" s="11" t="s">
        <v>16</v>
      </c>
      <c r="B4" s="12">
        <v>44868.0</v>
      </c>
      <c r="C4" s="13">
        <v>90000.0</v>
      </c>
      <c r="D4" s="13">
        <v>69000.0</v>
      </c>
      <c r="E4" s="14"/>
      <c r="F4" s="14"/>
      <c r="G4" s="14"/>
      <c r="H4" s="14"/>
      <c r="I4" s="15">
        <v>1.0</v>
      </c>
      <c r="J4" s="16"/>
      <c r="K4" s="13">
        <v>70000.0</v>
      </c>
      <c r="L4" s="21">
        <v>90000.0</v>
      </c>
      <c r="M4" s="24" t="s">
        <v>17</v>
      </c>
      <c r="N4" s="25" t="s">
        <v>18</v>
      </c>
      <c r="O4" s="22"/>
      <c r="P4" s="1"/>
    </row>
    <row r="5">
      <c r="A5" s="26" t="s">
        <v>19</v>
      </c>
      <c r="B5" s="27">
        <v>44869.0</v>
      </c>
      <c r="C5" s="28">
        <v>120000.0</v>
      </c>
      <c r="D5" s="28">
        <v>60000.0</v>
      </c>
      <c r="E5" s="29"/>
      <c r="F5" s="29"/>
      <c r="G5" s="29"/>
      <c r="H5" s="29"/>
      <c r="I5" s="30">
        <v>1.0</v>
      </c>
      <c r="J5" s="16"/>
      <c r="K5" s="13">
        <v>70000.0</v>
      </c>
      <c r="L5" s="21">
        <v>120000.0</v>
      </c>
      <c r="M5" s="31">
        <f>E32/I32</f>
        <v>24728.06897</v>
      </c>
      <c r="N5" s="32">
        <v>70000.0</v>
      </c>
      <c r="O5" s="1"/>
      <c r="P5" s="1"/>
    </row>
    <row r="6">
      <c r="A6" s="11" t="s">
        <v>20</v>
      </c>
      <c r="B6" s="12">
        <v>44870.0</v>
      </c>
      <c r="C6" s="13">
        <v>140000.0</v>
      </c>
      <c r="D6" s="13">
        <v>60000.0</v>
      </c>
      <c r="E6" s="14"/>
      <c r="F6" s="14"/>
      <c r="G6" s="14"/>
      <c r="H6" s="14"/>
      <c r="I6" s="15">
        <v>1.0</v>
      </c>
      <c r="J6" s="16"/>
      <c r="K6" s="13">
        <v>70000.0</v>
      </c>
      <c r="L6" s="21">
        <v>140000.0</v>
      </c>
      <c r="M6" s="1" t="s">
        <v>21</v>
      </c>
      <c r="N6" s="1"/>
      <c r="O6" s="1"/>
      <c r="P6" s="1"/>
    </row>
    <row r="7">
      <c r="A7" s="11" t="s">
        <v>22</v>
      </c>
      <c r="B7" s="12">
        <v>44871.0</v>
      </c>
      <c r="C7" s="13">
        <v>210000.0</v>
      </c>
      <c r="D7" s="13">
        <v>45000.0</v>
      </c>
      <c r="E7" s="14"/>
      <c r="F7" s="14"/>
      <c r="G7" s="14"/>
      <c r="H7" s="14"/>
      <c r="I7" s="15">
        <v>1.0</v>
      </c>
      <c r="J7" s="16"/>
      <c r="K7" s="13">
        <v>70000.0</v>
      </c>
      <c r="L7" s="21">
        <v>210000.0</v>
      </c>
      <c r="M7" s="1"/>
      <c r="N7" s="1"/>
      <c r="O7" s="1"/>
      <c r="P7" s="1"/>
    </row>
    <row r="8">
      <c r="A8" s="11" t="s">
        <v>23</v>
      </c>
      <c r="B8" s="12">
        <v>44872.0</v>
      </c>
      <c r="C8" s="13">
        <v>60000.0</v>
      </c>
      <c r="D8" s="13">
        <v>40000.0</v>
      </c>
      <c r="E8" s="14"/>
      <c r="F8" s="14"/>
      <c r="G8" s="14"/>
      <c r="H8" s="14"/>
      <c r="I8" s="15">
        <v>1.0</v>
      </c>
      <c r="J8" s="16"/>
      <c r="K8" s="13">
        <v>70000.0</v>
      </c>
      <c r="L8" s="21">
        <v>60000.0</v>
      </c>
      <c r="M8" s="33" t="s">
        <v>24</v>
      </c>
      <c r="N8" s="33" t="s">
        <v>25</v>
      </c>
      <c r="O8" s="34" t="s">
        <v>26</v>
      </c>
      <c r="P8" s="35" t="s">
        <v>27</v>
      </c>
    </row>
    <row r="9">
      <c r="A9" s="11" t="s">
        <v>14</v>
      </c>
      <c r="B9" s="12">
        <v>44873.0</v>
      </c>
      <c r="C9" s="13">
        <v>52000.0</v>
      </c>
      <c r="D9" s="13">
        <v>53000.0</v>
      </c>
      <c r="E9" s="14"/>
      <c r="F9" s="14"/>
      <c r="G9" s="14"/>
      <c r="H9" s="14"/>
      <c r="I9" s="15">
        <v>1.0</v>
      </c>
      <c r="J9" s="16"/>
      <c r="K9" s="13">
        <v>70000.0</v>
      </c>
      <c r="L9" s="21">
        <v>52000.0</v>
      </c>
      <c r="M9" s="36">
        <f>D32+N11-E32-N9-'Les salaires '!J27</f>
        <v>525086</v>
      </c>
      <c r="N9" s="18">
        <f>P9+O9</f>
        <v>741000</v>
      </c>
      <c r="O9" s="37">
        <v>18000.0</v>
      </c>
      <c r="P9" s="38">
        <v>723000.0</v>
      </c>
    </row>
    <row r="10">
      <c r="A10" s="11" t="s">
        <v>15</v>
      </c>
      <c r="B10" s="12">
        <v>44874.0</v>
      </c>
      <c r="C10" s="13">
        <v>42000.0</v>
      </c>
      <c r="D10" s="13">
        <v>40000.0</v>
      </c>
      <c r="E10" s="14"/>
      <c r="F10" s="14"/>
      <c r="G10" s="14"/>
      <c r="H10" s="14"/>
      <c r="I10" s="15">
        <v>1.0</v>
      </c>
      <c r="J10" s="16"/>
      <c r="K10" s="13">
        <v>70000.0</v>
      </c>
      <c r="L10" s="21">
        <v>42000.0</v>
      </c>
      <c r="M10" s="1"/>
      <c r="N10" s="1" t="s">
        <v>28</v>
      </c>
      <c r="O10" s="39"/>
      <c r="P10" s="40" t="s">
        <v>29</v>
      </c>
    </row>
    <row r="11">
      <c r="A11" s="11" t="s">
        <v>16</v>
      </c>
      <c r="B11" s="12">
        <v>44875.0</v>
      </c>
      <c r="C11" s="13">
        <v>35000.0</v>
      </c>
      <c r="D11" s="13">
        <v>60000.0</v>
      </c>
      <c r="E11" s="14"/>
      <c r="F11" s="14"/>
      <c r="G11" s="14"/>
      <c r="H11" s="14"/>
      <c r="I11" s="15">
        <v>1.0</v>
      </c>
      <c r="J11" s="16"/>
      <c r="K11" s="13">
        <v>70000.0</v>
      </c>
      <c r="L11" s="21">
        <v>35000.0</v>
      </c>
      <c r="M11" s="41" t="s">
        <v>30</v>
      </c>
      <c r="N11" s="32">
        <v>368000.0</v>
      </c>
      <c r="O11" s="39"/>
      <c r="P11" s="40" t="s">
        <v>31</v>
      </c>
    </row>
    <row r="12">
      <c r="A12" s="26" t="s">
        <v>19</v>
      </c>
      <c r="B12" s="27">
        <v>44876.0</v>
      </c>
      <c r="C12" s="28">
        <v>32000.0</v>
      </c>
      <c r="D12" s="28">
        <v>110000.0</v>
      </c>
      <c r="E12" s="29"/>
      <c r="F12" s="29"/>
      <c r="G12" s="29"/>
      <c r="H12" s="29"/>
      <c r="I12" s="30">
        <v>1.0</v>
      </c>
      <c r="J12" s="16"/>
      <c r="K12" s="13">
        <v>70000.0</v>
      </c>
      <c r="L12" s="21">
        <v>32000.0</v>
      </c>
      <c r="M12" s="42"/>
      <c r="N12" s="43"/>
      <c r="O12" s="22"/>
      <c r="P12" s="10" t="s">
        <v>32</v>
      </c>
    </row>
    <row r="13">
      <c r="A13" s="11" t="s">
        <v>20</v>
      </c>
      <c r="B13" s="12">
        <v>44877.0</v>
      </c>
      <c r="C13" s="13">
        <v>45000.0</v>
      </c>
      <c r="D13" s="13">
        <v>72000.0</v>
      </c>
      <c r="E13" s="14"/>
      <c r="F13" s="14"/>
      <c r="G13" s="14"/>
      <c r="H13" s="14"/>
      <c r="I13" s="15">
        <v>1.0</v>
      </c>
      <c r="J13" s="16"/>
      <c r="K13" s="13">
        <v>70000.0</v>
      </c>
      <c r="L13" s="21">
        <v>45000.0</v>
      </c>
      <c r="M13" s="44"/>
      <c r="N13" s="19"/>
      <c r="O13" s="22"/>
      <c r="P13" s="10" t="s">
        <v>33</v>
      </c>
    </row>
    <row r="14">
      <c r="A14" s="11" t="s">
        <v>22</v>
      </c>
      <c r="B14" s="12">
        <v>44878.0</v>
      </c>
      <c r="C14" s="13">
        <v>80000.0</v>
      </c>
      <c r="D14" s="13">
        <v>50000.0</v>
      </c>
      <c r="E14" s="14"/>
      <c r="F14" s="14"/>
      <c r="G14" s="14"/>
      <c r="H14" s="14"/>
      <c r="I14" s="15">
        <v>1.0</v>
      </c>
      <c r="J14" s="16"/>
      <c r="K14" s="13">
        <v>70000.0</v>
      </c>
      <c r="L14" s="21">
        <v>80000.0</v>
      </c>
      <c r="M14" s="44"/>
      <c r="N14" s="45"/>
      <c r="O14" s="22"/>
      <c r="P14" s="22"/>
    </row>
    <row r="15">
      <c r="A15" s="11" t="s">
        <v>23</v>
      </c>
      <c r="B15" s="12">
        <v>44879.0</v>
      </c>
      <c r="C15" s="13">
        <v>66000.0</v>
      </c>
      <c r="D15" s="13">
        <v>71000.0</v>
      </c>
      <c r="E15" s="14"/>
      <c r="F15" s="14"/>
      <c r="G15" s="14"/>
      <c r="H15" s="14"/>
      <c r="I15" s="15">
        <v>1.0</v>
      </c>
      <c r="J15" s="16"/>
      <c r="K15" s="13">
        <v>70000.0</v>
      </c>
      <c r="L15" s="21">
        <v>66000.0</v>
      </c>
      <c r="M15" s="46"/>
      <c r="N15" s="45"/>
      <c r="O15" s="22"/>
      <c r="P15" s="10"/>
    </row>
    <row r="16">
      <c r="A16" s="11" t="s">
        <v>14</v>
      </c>
      <c r="B16" s="12">
        <v>44880.0</v>
      </c>
      <c r="C16" s="13">
        <v>78000.0</v>
      </c>
      <c r="D16" s="13">
        <v>73000.0</v>
      </c>
      <c r="E16" s="14"/>
      <c r="F16" s="14"/>
      <c r="G16" s="14"/>
      <c r="H16" s="14"/>
      <c r="I16" s="15">
        <v>1.0</v>
      </c>
      <c r="J16" s="16"/>
      <c r="K16" s="13">
        <v>70000.0</v>
      </c>
      <c r="L16" s="21">
        <v>78000.0</v>
      </c>
      <c r="M16" s="47"/>
      <c r="N16" s="48"/>
      <c r="O16" s="10" t="s">
        <v>34</v>
      </c>
      <c r="P16" s="10">
        <v>620000.0</v>
      </c>
    </row>
    <row r="17">
      <c r="A17" s="11" t="s">
        <v>15</v>
      </c>
      <c r="B17" s="12">
        <v>44881.0</v>
      </c>
      <c r="C17" s="13">
        <v>36000.0</v>
      </c>
      <c r="D17" s="13">
        <v>90000.0</v>
      </c>
      <c r="E17" s="14"/>
      <c r="F17" s="14"/>
      <c r="G17" s="14"/>
      <c r="H17" s="14"/>
      <c r="I17" s="15">
        <v>1.0</v>
      </c>
      <c r="J17" s="16"/>
      <c r="K17" s="13">
        <v>70000.0</v>
      </c>
      <c r="L17" s="21">
        <v>36000.0</v>
      </c>
      <c r="M17" s="49" t="s">
        <v>35</v>
      </c>
      <c r="N17" s="19"/>
      <c r="O17" s="22"/>
      <c r="P17" s="22"/>
    </row>
    <row r="18">
      <c r="A18" s="11" t="s">
        <v>16</v>
      </c>
      <c r="B18" s="12">
        <v>44882.0</v>
      </c>
      <c r="C18" s="13">
        <v>30000.0</v>
      </c>
      <c r="D18" s="13">
        <v>60000.0</v>
      </c>
      <c r="E18" s="14"/>
      <c r="F18" s="14"/>
      <c r="G18" s="14"/>
      <c r="H18" s="14"/>
      <c r="I18" s="15">
        <v>1.0</v>
      </c>
      <c r="J18" s="16"/>
      <c r="K18" s="13">
        <v>70000.0</v>
      </c>
      <c r="L18" s="21">
        <v>30000.0</v>
      </c>
      <c r="M18" s="50">
        <f>D32-C32</f>
        <v>-162000</v>
      </c>
      <c r="N18" s="19"/>
      <c r="O18" s="22"/>
      <c r="P18" s="22"/>
    </row>
    <row r="19">
      <c r="A19" s="26" t="s">
        <v>19</v>
      </c>
      <c r="B19" s="27">
        <v>44883.0</v>
      </c>
      <c r="C19" s="28">
        <v>40000.0</v>
      </c>
      <c r="D19" s="28">
        <v>70000.0</v>
      </c>
      <c r="E19" s="29"/>
      <c r="F19" s="29"/>
      <c r="G19" s="29"/>
      <c r="H19" s="29"/>
      <c r="I19" s="30">
        <v>1.0</v>
      </c>
      <c r="J19" s="16"/>
      <c r="K19" s="13">
        <v>70000.0</v>
      </c>
      <c r="L19" s="21">
        <v>40000.0</v>
      </c>
      <c r="M19" s="51" t="s">
        <v>36</v>
      </c>
      <c r="N19" s="19"/>
      <c r="O19" s="22"/>
      <c r="P19" s="22"/>
    </row>
    <row r="20">
      <c r="A20" s="11" t="s">
        <v>20</v>
      </c>
      <c r="B20" s="12">
        <v>44884.0</v>
      </c>
      <c r="C20" s="13">
        <v>54000.0</v>
      </c>
      <c r="D20" s="13">
        <v>70000.0</v>
      </c>
      <c r="E20" s="14"/>
      <c r="F20" s="14"/>
      <c r="G20" s="14"/>
      <c r="H20" s="14"/>
      <c r="I20" s="15">
        <v>1.0</v>
      </c>
      <c r="J20" s="16"/>
      <c r="K20" s="13">
        <v>70000.0</v>
      </c>
      <c r="L20" s="21">
        <v>54000.0</v>
      </c>
      <c r="M20" s="31">
        <f>K32-D32</f>
        <v>324000</v>
      </c>
      <c r="N20" s="19"/>
      <c r="O20" s="22"/>
      <c r="P20" s="22"/>
    </row>
    <row r="21">
      <c r="A21" s="11" t="s">
        <v>22</v>
      </c>
      <c r="B21" s="12">
        <v>44885.0</v>
      </c>
      <c r="C21" s="13">
        <v>30000.0</v>
      </c>
      <c r="D21" s="52">
        <v>40000.0</v>
      </c>
      <c r="E21" s="14"/>
      <c r="F21" s="14"/>
      <c r="G21" s="14"/>
      <c r="H21" s="14"/>
      <c r="I21" s="15">
        <v>1.0</v>
      </c>
      <c r="J21" s="16"/>
      <c r="K21" s="13">
        <v>70000.0</v>
      </c>
      <c r="L21" s="21">
        <v>30000.0</v>
      </c>
      <c r="M21" s="1"/>
      <c r="N21" s="19"/>
      <c r="O21" s="22"/>
      <c r="P21" s="22"/>
    </row>
    <row r="22">
      <c r="A22" s="11" t="s">
        <v>23</v>
      </c>
      <c r="B22" s="12">
        <v>44886.0</v>
      </c>
      <c r="C22" s="13">
        <v>45000.0</v>
      </c>
      <c r="D22" s="52">
        <v>24000.0</v>
      </c>
      <c r="E22" s="14"/>
      <c r="F22" s="14"/>
      <c r="G22" s="14"/>
      <c r="H22" s="14"/>
      <c r="I22" s="15">
        <v>1.0</v>
      </c>
      <c r="J22" s="16"/>
      <c r="K22" s="13">
        <v>70000.0</v>
      </c>
      <c r="L22" s="21">
        <v>45000.0</v>
      </c>
      <c r="M22" s="1"/>
      <c r="N22" s="19"/>
      <c r="O22" s="22"/>
      <c r="P22" s="22"/>
    </row>
    <row r="23">
      <c r="A23" s="11" t="s">
        <v>14</v>
      </c>
      <c r="B23" s="12">
        <v>44887.0</v>
      </c>
      <c r="C23" s="13">
        <v>60000.0</v>
      </c>
      <c r="D23" s="52">
        <v>40000.0</v>
      </c>
      <c r="E23" s="14"/>
      <c r="F23" s="14"/>
      <c r="G23" s="14"/>
      <c r="H23" s="14"/>
      <c r="I23" s="15">
        <v>1.0</v>
      </c>
      <c r="J23" s="16"/>
      <c r="K23" s="13">
        <v>70000.0</v>
      </c>
      <c r="L23" s="21">
        <v>60000.0</v>
      </c>
      <c r="M23" s="53" t="s">
        <v>37</v>
      </c>
      <c r="N23" s="19"/>
      <c r="O23" s="22"/>
      <c r="P23" s="22"/>
    </row>
    <row r="24">
      <c r="A24" s="11" t="s">
        <v>15</v>
      </c>
      <c r="B24" s="12">
        <v>44888.0</v>
      </c>
      <c r="C24" s="13">
        <v>100000.0</v>
      </c>
      <c r="D24" s="52">
        <v>90000.0</v>
      </c>
      <c r="E24" s="14"/>
      <c r="F24" s="14"/>
      <c r="G24" s="14"/>
      <c r="H24" s="14"/>
      <c r="I24" s="15">
        <v>1.0</v>
      </c>
      <c r="J24" s="16"/>
      <c r="K24" s="13">
        <v>70000.0</v>
      </c>
      <c r="L24" s="21">
        <v>100000.0</v>
      </c>
      <c r="M24" s="31">
        <f>D5+D12+D19+D26</f>
        <v>340000</v>
      </c>
      <c r="N24" s="22"/>
      <c r="O24" s="22"/>
      <c r="P24" s="22"/>
    </row>
    <row r="25">
      <c r="A25" s="11" t="s">
        <v>16</v>
      </c>
      <c r="B25" s="12">
        <v>44889.0</v>
      </c>
      <c r="C25" s="13">
        <v>33000.0</v>
      </c>
      <c r="D25" s="52">
        <v>60000.0</v>
      </c>
      <c r="E25" s="14"/>
      <c r="F25" s="14"/>
      <c r="G25" s="14"/>
      <c r="H25" s="14"/>
      <c r="I25" s="15">
        <v>1.0</v>
      </c>
      <c r="J25" s="16"/>
      <c r="K25" s="13">
        <v>70000.0</v>
      </c>
      <c r="L25" s="21">
        <v>33000.0</v>
      </c>
      <c r="M25" s="31"/>
      <c r="N25" s="22"/>
      <c r="O25" s="22"/>
      <c r="P25" s="22"/>
    </row>
    <row r="26">
      <c r="A26" s="26" t="s">
        <v>19</v>
      </c>
      <c r="B26" s="27">
        <v>44890.0</v>
      </c>
      <c r="C26" s="28">
        <v>25000.0</v>
      </c>
      <c r="D26" s="52">
        <v>100000.0</v>
      </c>
      <c r="E26" s="29"/>
      <c r="F26" s="29"/>
      <c r="G26" s="29"/>
      <c r="H26" s="29"/>
      <c r="I26" s="30">
        <v>1.0</v>
      </c>
      <c r="J26" s="16"/>
      <c r="K26" s="13">
        <v>70000.0</v>
      </c>
      <c r="L26" s="21">
        <v>25000.0</v>
      </c>
      <c r="M26" s="24" t="s">
        <v>38</v>
      </c>
      <c r="N26" s="22"/>
      <c r="O26" s="22"/>
      <c r="P26" s="22"/>
    </row>
    <row r="27">
      <c r="A27" s="11" t="s">
        <v>20</v>
      </c>
      <c r="B27" s="12">
        <v>44891.0</v>
      </c>
      <c r="C27" s="13">
        <v>55000.0</v>
      </c>
      <c r="D27" s="52">
        <v>40000.0</v>
      </c>
      <c r="E27" s="14"/>
      <c r="F27" s="14"/>
      <c r="G27" s="14"/>
      <c r="H27" s="14"/>
      <c r="I27" s="15">
        <v>1.0</v>
      </c>
      <c r="J27" s="16"/>
      <c r="K27" s="13">
        <v>70000.0</v>
      </c>
      <c r="L27" s="21">
        <v>55000.0</v>
      </c>
      <c r="M27" s="32">
        <v>230000.0</v>
      </c>
      <c r="N27" s="44"/>
      <c r="O27" s="44"/>
      <c r="P27" s="22"/>
    </row>
    <row r="28">
      <c r="A28" s="11" t="s">
        <v>22</v>
      </c>
      <c r="B28" s="12">
        <v>44892.0</v>
      </c>
      <c r="C28" s="13">
        <v>50000.0</v>
      </c>
      <c r="D28" s="52">
        <v>30000.0</v>
      </c>
      <c r="E28" s="14"/>
      <c r="F28" s="14"/>
      <c r="G28" s="14"/>
      <c r="H28" s="14"/>
      <c r="I28" s="15">
        <v>1.0</v>
      </c>
      <c r="J28" s="16"/>
      <c r="K28" s="13">
        <v>70000.0</v>
      </c>
      <c r="L28" s="21">
        <v>50000.0</v>
      </c>
      <c r="M28" s="54" t="s">
        <v>39</v>
      </c>
      <c r="N28" s="22"/>
      <c r="O28" s="44"/>
      <c r="P28" s="22"/>
    </row>
    <row r="29">
      <c r="A29" s="11" t="s">
        <v>23</v>
      </c>
      <c r="B29" s="12">
        <v>44893.0</v>
      </c>
      <c r="C29" s="13">
        <v>70000.0</v>
      </c>
      <c r="D29" s="52">
        <v>65000.0</v>
      </c>
      <c r="E29" s="14"/>
      <c r="F29" s="14"/>
      <c r="G29" s="14"/>
      <c r="H29" s="14"/>
      <c r="I29" s="15">
        <v>1.0</v>
      </c>
      <c r="J29" s="16"/>
      <c r="K29" s="13">
        <v>70000.0</v>
      </c>
      <c r="L29" s="21">
        <v>70000.0</v>
      </c>
      <c r="M29" s="31">
        <f>M9-M27</f>
        <v>295086</v>
      </c>
      <c r="N29" s="22"/>
      <c r="O29" s="44"/>
      <c r="P29" s="22"/>
    </row>
    <row r="30">
      <c r="A30" s="11" t="s">
        <v>14</v>
      </c>
      <c r="B30" s="12">
        <v>44894.0</v>
      </c>
      <c r="C30" s="13">
        <v>68000.0</v>
      </c>
      <c r="D30" s="52">
        <v>40000.0</v>
      </c>
      <c r="E30" s="14"/>
      <c r="F30" s="14"/>
      <c r="G30" s="14"/>
      <c r="H30" s="14"/>
      <c r="I30" s="15">
        <v>1.0</v>
      </c>
      <c r="J30" s="16"/>
      <c r="K30" s="13">
        <v>70000.0</v>
      </c>
      <c r="L30" s="21">
        <v>68000.0</v>
      </c>
      <c r="M30" s="22"/>
      <c r="N30" s="22"/>
      <c r="O30" s="22"/>
      <c r="P30" s="22"/>
    </row>
    <row r="31">
      <c r="A31" s="55" t="s">
        <v>22</v>
      </c>
      <c r="B31" s="12">
        <v>44895.0</v>
      </c>
      <c r="C31" s="13">
        <v>21000.0</v>
      </c>
      <c r="D31" s="52">
        <v>30000.0</v>
      </c>
      <c r="E31" s="14"/>
      <c r="F31" s="14"/>
      <c r="G31" s="14"/>
      <c r="H31" s="14"/>
      <c r="I31" s="15">
        <v>1.0</v>
      </c>
      <c r="J31" s="16"/>
      <c r="K31" s="13">
        <v>70000.0</v>
      </c>
      <c r="L31" s="21">
        <v>21000.0</v>
      </c>
      <c r="M31" s="22"/>
      <c r="N31" s="22"/>
      <c r="O31" s="22"/>
      <c r="P31" s="22"/>
    </row>
    <row r="32">
      <c r="A32" s="56"/>
      <c r="B32" s="1"/>
      <c r="C32" s="18">
        <f t="shared" ref="C32:D32" si="1">SUM(C2:C31)</f>
        <v>1868000</v>
      </c>
      <c r="D32" s="36">
        <f t="shared" si="1"/>
        <v>1706000</v>
      </c>
      <c r="E32" s="57">
        <f>'Les charges '!H311*1</f>
        <v>717114</v>
      </c>
      <c r="F32" s="58">
        <f>'Les salaires '!I27*1</f>
        <v>338204</v>
      </c>
      <c r="G32" s="59">
        <v>110000.0</v>
      </c>
      <c r="H32" s="18">
        <f>D32-G32-F32-E32</f>
        <v>540682</v>
      </c>
      <c r="I32" s="60">
        <f>SUM(I2:I31)</f>
        <v>29</v>
      </c>
      <c r="J32" s="61"/>
      <c r="K32" s="62">
        <f t="shared" ref="K32:L32" si="2">SUM(K2:K31)</f>
        <v>2030000</v>
      </c>
      <c r="L32" s="63">
        <f t="shared" si="2"/>
        <v>1868000</v>
      </c>
      <c r="M32" s="22"/>
      <c r="N32" s="22"/>
      <c r="O32" s="22"/>
      <c r="P32" s="22"/>
    </row>
    <row r="33">
      <c r="A33" s="56"/>
      <c r="B33" s="1"/>
      <c r="C33" s="1"/>
      <c r="D33" s="1"/>
      <c r="E33" s="1"/>
      <c r="F33" s="1"/>
      <c r="G33" s="1"/>
      <c r="H33" s="1"/>
      <c r="I33" s="22"/>
      <c r="J33" s="22"/>
      <c r="K33" s="22"/>
      <c r="L33" s="44"/>
      <c r="M33" s="22"/>
      <c r="N33" s="22"/>
      <c r="O33" s="22"/>
      <c r="P33" s="22"/>
    </row>
    <row r="34">
      <c r="A34" s="1"/>
      <c r="B34" s="1"/>
      <c r="C34" s="64" t="s">
        <v>8</v>
      </c>
      <c r="D34" s="65">
        <v>2030000.0</v>
      </c>
      <c r="E34" s="65">
        <v>700000.0</v>
      </c>
      <c r="F34" s="65">
        <v>310000.0</v>
      </c>
      <c r="G34" s="66">
        <v>110000.0</v>
      </c>
      <c r="H34" s="65">
        <v>910000.0</v>
      </c>
      <c r="I34" s="22"/>
      <c r="J34" s="22"/>
      <c r="K34" s="22"/>
      <c r="L34" s="22"/>
      <c r="M34" s="22"/>
      <c r="N34" s="22"/>
      <c r="O34" s="22"/>
      <c r="P34" s="22"/>
    </row>
    <row r="35">
      <c r="A35" s="56"/>
      <c r="B35" s="1"/>
      <c r="C35" s="67" t="s">
        <v>40</v>
      </c>
      <c r="D35" s="68">
        <v>1921000.0</v>
      </c>
      <c r="E35" s="69">
        <v>901000.0</v>
      </c>
      <c r="F35" s="70">
        <v>369000.0</v>
      </c>
      <c r="G35" s="59">
        <v>110000.0</v>
      </c>
      <c r="H35" s="18">
        <v>540000.0</v>
      </c>
      <c r="I35" s="22"/>
      <c r="J35" s="22"/>
      <c r="K35" s="22"/>
      <c r="L35" s="22"/>
      <c r="M35" s="22"/>
      <c r="N35" s="22"/>
      <c r="O35" s="22"/>
      <c r="P35" s="22"/>
    </row>
    <row r="36">
      <c r="A36" s="22"/>
      <c r="B36" s="1"/>
      <c r="C36" s="1"/>
      <c r="D36" s="1"/>
      <c r="E36" s="1"/>
      <c r="F36" s="1"/>
      <c r="G36" s="1"/>
      <c r="H36" s="1"/>
      <c r="I36" s="22"/>
      <c r="J36" s="22"/>
      <c r="K36" s="22"/>
      <c r="L36" s="22"/>
      <c r="M36" s="22"/>
      <c r="N36" s="22"/>
      <c r="O36" s="22"/>
      <c r="P36" s="22"/>
    </row>
    <row r="37">
      <c r="A37" s="1"/>
      <c r="B37" s="1"/>
      <c r="C37" s="1"/>
      <c r="D37" s="1"/>
      <c r="E37" s="1"/>
      <c r="F37" s="1"/>
      <c r="G37" s="1"/>
      <c r="H37" s="1"/>
      <c r="I37" s="22"/>
      <c r="J37" s="22"/>
      <c r="K37" s="22"/>
      <c r="L37" s="22"/>
      <c r="M37" s="22"/>
      <c r="N37" s="22"/>
      <c r="O37" s="22"/>
      <c r="P37" s="22"/>
    </row>
    <row r="38">
      <c r="A38" s="56"/>
      <c r="B38" s="1"/>
      <c r="C38" s="71" t="s">
        <v>41</v>
      </c>
      <c r="D38" s="66">
        <f t="shared" ref="D38:H38" si="3">D32-D35</f>
        <v>-215000</v>
      </c>
      <c r="E38" s="66">
        <f t="shared" si="3"/>
        <v>-183886</v>
      </c>
      <c r="F38" s="66">
        <f t="shared" si="3"/>
        <v>-30796</v>
      </c>
      <c r="G38" s="66">
        <f t="shared" si="3"/>
        <v>0</v>
      </c>
      <c r="H38" s="66">
        <f t="shared" si="3"/>
        <v>682</v>
      </c>
      <c r="I38" s="22"/>
      <c r="J38" s="22"/>
      <c r="K38" s="22"/>
      <c r="L38" s="22"/>
      <c r="M38" s="22"/>
      <c r="N38" s="22"/>
      <c r="O38" s="22"/>
      <c r="P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>
      <c r="A40" s="22"/>
      <c r="B40" s="22"/>
      <c r="C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>
      <c r="A41" s="22"/>
      <c r="B41" s="22"/>
      <c r="C41" s="22"/>
      <c r="D41" s="72" t="s">
        <v>42</v>
      </c>
      <c r="E41" s="73">
        <f>E32/D32*100</f>
        <v>42.03481829</v>
      </c>
      <c r="F41" s="73">
        <f>F32/D32*100</f>
        <v>19.82438453</v>
      </c>
      <c r="G41" s="73">
        <f>G32/D32*100</f>
        <v>6.447831184</v>
      </c>
      <c r="H41" s="73">
        <f>H32/D32*100</f>
        <v>31.692966</v>
      </c>
      <c r="I41" s="22"/>
      <c r="J41" s="22"/>
      <c r="K41" s="22"/>
      <c r="L41" s="22"/>
      <c r="M41" s="22"/>
      <c r="N41" s="22"/>
      <c r="O41" s="22"/>
      <c r="P41" s="22"/>
    </row>
    <row r="42">
      <c r="A42" s="22"/>
      <c r="B42" s="22"/>
      <c r="C42" s="22"/>
      <c r="D42" s="22"/>
      <c r="E42" s="73"/>
      <c r="F42" s="73"/>
      <c r="G42" s="73"/>
      <c r="H42" s="73"/>
      <c r="I42" s="22"/>
      <c r="J42" s="22"/>
      <c r="K42" s="22"/>
      <c r="L42" s="22"/>
      <c r="M42" s="22"/>
      <c r="N42" s="22"/>
      <c r="O42" s="22"/>
      <c r="P42" s="22"/>
    </row>
    <row r="43">
      <c r="A43" s="22"/>
      <c r="B43" s="22"/>
      <c r="C43" s="22"/>
      <c r="D43" s="72" t="s">
        <v>43</v>
      </c>
      <c r="E43" s="73">
        <f t="shared" ref="E43:E44" si="4">E34/D34*100</f>
        <v>34.48275862</v>
      </c>
      <c r="F43" s="73">
        <f t="shared" ref="F43:F44" si="5">F34/D34*100</f>
        <v>15.27093596</v>
      </c>
      <c r="G43" s="73">
        <f t="shared" ref="G43:G44" si="6">G34/D34*100</f>
        <v>5.418719212</v>
      </c>
      <c r="H43" s="73">
        <f t="shared" ref="H43:H44" si="7">H34/D34*100</f>
        <v>44.82758621</v>
      </c>
      <c r="I43" s="22"/>
      <c r="J43" s="22"/>
      <c r="K43" s="22"/>
      <c r="L43" s="22"/>
      <c r="M43" s="22"/>
      <c r="N43" s="22"/>
      <c r="O43" s="22"/>
      <c r="P43" s="22"/>
    </row>
    <row r="44">
      <c r="A44" s="22"/>
      <c r="B44" s="22"/>
      <c r="C44" s="22"/>
      <c r="D44" s="72" t="s">
        <v>44</v>
      </c>
      <c r="E44" s="73">
        <f t="shared" si="4"/>
        <v>46.90265487</v>
      </c>
      <c r="F44" s="73">
        <f t="shared" si="5"/>
        <v>19.20874545</v>
      </c>
      <c r="G44" s="73">
        <f t="shared" si="6"/>
        <v>5.726184279</v>
      </c>
      <c r="H44" s="73">
        <f t="shared" si="7"/>
        <v>28.11035919</v>
      </c>
      <c r="I44" s="22"/>
      <c r="J44" s="22"/>
      <c r="K44" s="22"/>
      <c r="L44" s="22"/>
      <c r="M44" s="22"/>
      <c r="N44" s="22"/>
      <c r="O44" s="22"/>
      <c r="P44" s="22"/>
    </row>
    <row r="45">
      <c r="A45" s="22"/>
      <c r="B45" s="22"/>
      <c r="C45" s="22"/>
      <c r="D45" s="22"/>
      <c r="E45" s="73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0.88"/>
    <col customWidth="1" min="3" max="3" width="14.63"/>
    <col customWidth="1" min="4" max="4" width="17.38"/>
    <col customWidth="1" min="5" max="6" width="15.63"/>
    <col customWidth="1" min="7" max="7" width="15.38"/>
    <col customWidth="1" min="8" max="8" width="14.63"/>
    <col customWidth="1" min="9" max="9" width="14.88"/>
    <col customWidth="1" min="10" max="10" width="14.38"/>
    <col customWidth="1" min="11" max="11" width="14.88"/>
    <col customWidth="1" min="12" max="12" width="14.38"/>
    <col customWidth="1" min="13" max="13" width="15.38"/>
    <col customWidth="1" min="14" max="14" width="14.88"/>
    <col customWidth="1" min="15" max="15" width="15.88"/>
    <col customWidth="1" min="16" max="16" width="16.13"/>
    <col customWidth="1" min="17" max="17" width="28.13"/>
    <col customWidth="1" min="21" max="21" width="26.88"/>
    <col customWidth="1" min="22" max="22" width="20.38"/>
    <col customWidth="1" min="23" max="23" width="28.63"/>
  </cols>
  <sheetData>
    <row r="1">
      <c r="A1" s="1"/>
      <c r="B1" s="2" t="s">
        <v>0</v>
      </c>
      <c r="C1" s="74" t="s">
        <v>45</v>
      </c>
      <c r="D1" s="2" t="s">
        <v>46</v>
      </c>
      <c r="E1" s="2" t="s">
        <v>47</v>
      </c>
      <c r="F1" s="3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3" t="s">
        <v>56</v>
      </c>
      <c r="O1" s="2" t="s">
        <v>57</v>
      </c>
      <c r="P1" s="2" t="s">
        <v>58</v>
      </c>
      <c r="Q1" s="2" t="s">
        <v>59</v>
      </c>
      <c r="U1" s="1"/>
      <c r="V1" s="2" t="s">
        <v>0</v>
      </c>
      <c r="W1" s="2" t="s">
        <v>50</v>
      </c>
    </row>
    <row r="2">
      <c r="A2" s="11" t="s">
        <v>14</v>
      </c>
      <c r="B2" s="12">
        <v>44866.0</v>
      </c>
      <c r="C2" s="75">
        <v>0.0</v>
      </c>
      <c r="D2" s="15">
        <v>0.0</v>
      </c>
      <c r="E2" s="15">
        <v>0.0</v>
      </c>
      <c r="F2" s="76">
        <v>0.0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77"/>
      <c r="U2" s="11" t="s">
        <v>14</v>
      </c>
      <c r="V2" s="12">
        <v>44866.0</v>
      </c>
      <c r="W2" s="15">
        <v>0.0</v>
      </c>
    </row>
    <row r="3">
      <c r="A3" s="11" t="s">
        <v>15</v>
      </c>
      <c r="B3" s="12">
        <v>44867.0</v>
      </c>
      <c r="C3" s="75">
        <v>1.0</v>
      </c>
      <c r="D3" s="15">
        <v>0.0</v>
      </c>
      <c r="E3" s="78">
        <v>1.0</v>
      </c>
      <c r="F3" s="15">
        <v>1.0</v>
      </c>
      <c r="G3" s="15">
        <v>0.0</v>
      </c>
      <c r="H3" s="15">
        <v>1.0</v>
      </c>
      <c r="I3" s="15">
        <v>1.0</v>
      </c>
      <c r="J3" s="15">
        <v>1.0</v>
      </c>
      <c r="K3" s="15">
        <v>1.0</v>
      </c>
      <c r="L3" s="15">
        <v>0.0</v>
      </c>
      <c r="M3" s="15">
        <v>1.0</v>
      </c>
      <c r="N3" s="15">
        <v>1.0</v>
      </c>
      <c r="O3" s="15">
        <v>0.0</v>
      </c>
      <c r="P3" s="15">
        <v>0.0</v>
      </c>
      <c r="Q3" s="14"/>
      <c r="U3" s="11" t="s">
        <v>15</v>
      </c>
      <c r="V3" s="12">
        <v>44867.0</v>
      </c>
      <c r="W3" s="15">
        <v>1.0</v>
      </c>
    </row>
    <row r="4">
      <c r="A4" s="11" t="s">
        <v>16</v>
      </c>
      <c r="B4" s="12">
        <v>44868.0</v>
      </c>
      <c r="C4" s="75">
        <v>0.0</v>
      </c>
      <c r="D4" s="15">
        <v>0.0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0.0</v>
      </c>
      <c r="L4" s="15">
        <v>0.0</v>
      </c>
      <c r="M4" s="15">
        <v>1.0</v>
      </c>
      <c r="N4" s="15">
        <v>0.0</v>
      </c>
      <c r="O4" s="15">
        <v>1.0</v>
      </c>
      <c r="P4" s="15">
        <v>0.0</v>
      </c>
      <c r="Q4" s="14"/>
      <c r="U4" s="11" t="s">
        <v>16</v>
      </c>
      <c r="V4" s="12">
        <v>44868.0</v>
      </c>
      <c r="W4" s="15">
        <v>1.0</v>
      </c>
    </row>
    <row r="5">
      <c r="A5" s="26" t="s">
        <v>19</v>
      </c>
      <c r="B5" s="27">
        <v>44869.0</v>
      </c>
      <c r="C5" s="79">
        <v>0.0</v>
      </c>
      <c r="D5" s="30">
        <v>0.0</v>
      </c>
      <c r="E5" s="30">
        <v>0.0</v>
      </c>
      <c r="F5" s="30">
        <v>1.0</v>
      </c>
      <c r="G5" s="30">
        <v>1.0</v>
      </c>
      <c r="H5" s="30">
        <v>1.0</v>
      </c>
      <c r="I5" s="30">
        <v>1.0</v>
      </c>
      <c r="J5" s="30">
        <v>1.0</v>
      </c>
      <c r="K5" s="30">
        <v>0.0</v>
      </c>
      <c r="L5" s="30">
        <v>0.0</v>
      </c>
      <c r="M5" s="30">
        <v>1.0</v>
      </c>
      <c r="N5" s="30">
        <v>0.0</v>
      </c>
      <c r="O5" s="30">
        <v>1.0</v>
      </c>
      <c r="P5" s="30">
        <v>0.0</v>
      </c>
      <c r="Q5" s="29"/>
      <c r="U5" s="26" t="s">
        <v>19</v>
      </c>
      <c r="V5" s="27">
        <v>44869.0</v>
      </c>
      <c r="W5" s="30">
        <v>1.0</v>
      </c>
    </row>
    <row r="6">
      <c r="A6" s="11" t="s">
        <v>20</v>
      </c>
      <c r="B6" s="12">
        <v>44870.0</v>
      </c>
      <c r="C6" s="75">
        <v>0.0</v>
      </c>
      <c r="D6" s="15">
        <v>0.0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0.0</v>
      </c>
      <c r="M6" s="15">
        <v>1.0</v>
      </c>
      <c r="N6" s="15">
        <v>0.0</v>
      </c>
      <c r="O6" s="15">
        <v>0.0</v>
      </c>
      <c r="P6" s="15">
        <v>0.0</v>
      </c>
      <c r="Q6" s="14"/>
      <c r="U6" s="11" t="s">
        <v>20</v>
      </c>
      <c r="V6" s="12">
        <v>44870.0</v>
      </c>
      <c r="W6" s="15">
        <v>1.0</v>
      </c>
    </row>
    <row r="7">
      <c r="A7" s="11" t="s">
        <v>22</v>
      </c>
      <c r="B7" s="12">
        <v>44871.0</v>
      </c>
      <c r="C7" s="75">
        <v>0.0</v>
      </c>
      <c r="D7" s="15">
        <v>0.0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0.5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4"/>
      <c r="U7" s="11" t="s">
        <v>22</v>
      </c>
      <c r="V7" s="12">
        <v>44871.0</v>
      </c>
      <c r="W7" s="15">
        <v>1.0</v>
      </c>
    </row>
    <row r="8">
      <c r="A8" s="11" t="s">
        <v>23</v>
      </c>
      <c r="B8" s="12">
        <v>44872.0</v>
      </c>
      <c r="C8" s="75">
        <v>0.0</v>
      </c>
      <c r="D8" s="15">
        <v>1.0</v>
      </c>
      <c r="E8" s="15">
        <v>1.0</v>
      </c>
      <c r="F8" s="15">
        <v>1.0</v>
      </c>
      <c r="G8" s="15">
        <v>1.0</v>
      </c>
      <c r="H8" s="15">
        <v>1.0</v>
      </c>
      <c r="I8" s="15">
        <v>1.0</v>
      </c>
      <c r="J8" s="15">
        <v>1.0</v>
      </c>
      <c r="K8" s="15">
        <v>1.0</v>
      </c>
      <c r="L8" s="15">
        <v>0.0</v>
      </c>
      <c r="M8" s="15">
        <v>1.0</v>
      </c>
      <c r="N8" s="15">
        <v>0.0</v>
      </c>
      <c r="O8" s="15">
        <v>0.0</v>
      </c>
      <c r="P8" s="15">
        <v>0.0</v>
      </c>
      <c r="Q8" s="14"/>
      <c r="U8" s="11" t="s">
        <v>23</v>
      </c>
      <c r="V8" s="12">
        <v>44872.0</v>
      </c>
      <c r="W8" s="15">
        <v>1.0</v>
      </c>
    </row>
    <row r="9">
      <c r="A9" s="11" t="s">
        <v>14</v>
      </c>
      <c r="B9" s="12">
        <v>44873.0</v>
      </c>
      <c r="C9" s="75">
        <v>0.0</v>
      </c>
      <c r="D9" s="15">
        <v>1.0</v>
      </c>
      <c r="E9" s="15">
        <v>1.0</v>
      </c>
      <c r="F9" s="15">
        <v>0.0</v>
      </c>
      <c r="G9" s="15">
        <v>0.0</v>
      </c>
      <c r="H9" s="15">
        <v>1.0</v>
      </c>
      <c r="I9" s="15">
        <v>1.0</v>
      </c>
      <c r="J9" s="15">
        <v>0.0</v>
      </c>
      <c r="K9" s="15">
        <v>0.0</v>
      </c>
      <c r="L9" s="15">
        <v>1.0</v>
      </c>
      <c r="M9" s="15">
        <v>1.0</v>
      </c>
      <c r="N9" s="80">
        <v>1.0</v>
      </c>
      <c r="O9" s="15">
        <v>0.0</v>
      </c>
      <c r="P9" s="15">
        <v>0.0</v>
      </c>
      <c r="Q9" s="14"/>
      <c r="U9" s="11" t="s">
        <v>14</v>
      </c>
      <c r="V9" s="12">
        <v>44873.0</v>
      </c>
      <c r="W9" s="15">
        <v>1.0</v>
      </c>
    </row>
    <row r="10">
      <c r="A10" s="11" t="s">
        <v>15</v>
      </c>
      <c r="B10" s="12">
        <v>44874.0</v>
      </c>
      <c r="C10" s="75">
        <v>0.0</v>
      </c>
      <c r="D10" s="81">
        <v>1.0</v>
      </c>
      <c r="E10" s="15">
        <v>1.0</v>
      </c>
      <c r="F10" s="15">
        <v>1.0</v>
      </c>
      <c r="G10" s="15">
        <v>0.0</v>
      </c>
      <c r="H10" s="15">
        <v>1.0</v>
      </c>
      <c r="I10" s="15">
        <v>1.0</v>
      </c>
      <c r="J10" s="15">
        <v>1.0</v>
      </c>
      <c r="K10" s="15">
        <v>0.0</v>
      </c>
      <c r="L10" s="15">
        <v>1.0</v>
      </c>
      <c r="M10" s="81">
        <v>1.0</v>
      </c>
      <c r="N10" s="80">
        <v>1.0</v>
      </c>
      <c r="O10" s="15">
        <v>1.0</v>
      </c>
      <c r="P10" s="15">
        <v>0.0</v>
      </c>
      <c r="Q10" s="14"/>
      <c r="U10" s="11" t="s">
        <v>15</v>
      </c>
      <c r="V10" s="12">
        <v>44874.0</v>
      </c>
      <c r="W10" s="15">
        <v>1.0</v>
      </c>
    </row>
    <row r="11">
      <c r="A11" s="11" t="s">
        <v>16</v>
      </c>
      <c r="B11" s="12">
        <v>44875.0</v>
      </c>
      <c r="C11" s="82">
        <v>0.0</v>
      </c>
      <c r="D11" s="83">
        <v>1.0</v>
      </c>
      <c r="E11" s="83">
        <v>1.0</v>
      </c>
      <c r="F11" s="83">
        <v>1.0</v>
      </c>
      <c r="G11" s="83">
        <v>0.0</v>
      </c>
      <c r="H11" s="83">
        <v>1.0</v>
      </c>
      <c r="I11" s="83">
        <v>1.0</v>
      </c>
      <c r="J11" s="83">
        <v>1.0</v>
      </c>
      <c r="K11" s="83">
        <v>0.0</v>
      </c>
      <c r="L11" s="83">
        <v>1.0</v>
      </c>
      <c r="M11" s="83">
        <v>1.0</v>
      </c>
      <c r="N11" s="80">
        <v>1.0</v>
      </c>
      <c r="O11" s="83">
        <v>0.5</v>
      </c>
      <c r="P11" s="83">
        <v>0.0</v>
      </c>
      <c r="Q11" s="14"/>
      <c r="U11" s="11" t="s">
        <v>16</v>
      </c>
      <c r="V11" s="12">
        <v>44875.0</v>
      </c>
      <c r="W11" s="83">
        <v>1.0</v>
      </c>
    </row>
    <row r="12">
      <c r="A12" s="26" t="s">
        <v>19</v>
      </c>
      <c r="B12" s="27">
        <v>44876.0</v>
      </c>
      <c r="C12" s="79">
        <v>2.0</v>
      </c>
      <c r="D12" s="30">
        <v>0.0</v>
      </c>
      <c r="E12" s="30">
        <v>1.0</v>
      </c>
      <c r="F12" s="30">
        <v>1.0</v>
      </c>
      <c r="G12" s="30">
        <v>0.0</v>
      </c>
      <c r="H12" s="30">
        <v>2.0</v>
      </c>
      <c r="I12" s="30">
        <v>1.0</v>
      </c>
      <c r="J12" s="30">
        <v>0.0</v>
      </c>
      <c r="K12" s="30">
        <v>0.0</v>
      </c>
      <c r="L12" s="30">
        <v>0.0</v>
      </c>
      <c r="M12" s="30">
        <v>1.0</v>
      </c>
      <c r="N12" s="30">
        <v>0.0</v>
      </c>
      <c r="O12" s="30">
        <v>2.0</v>
      </c>
      <c r="P12" s="30">
        <v>0.0</v>
      </c>
      <c r="Q12" s="29"/>
      <c r="U12" s="26" t="s">
        <v>19</v>
      </c>
      <c r="V12" s="27">
        <v>44876.0</v>
      </c>
      <c r="W12" s="30">
        <v>2.0</v>
      </c>
    </row>
    <row r="13">
      <c r="A13" s="11" t="s">
        <v>20</v>
      </c>
      <c r="B13" s="12">
        <v>44877.0</v>
      </c>
      <c r="C13" s="75">
        <v>0.0</v>
      </c>
      <c r="D13" s="15">
        <v>1.0</v>
      </c>
      <c r="E13" s="15">
        <v>1.0</v>
      </c>
      <c r="F13" s="15">
        <v>1.0</v>
      </c>
      <c r="G13" s="15">
        <v>0.0</v>
      </c>
      <c r="H13" s="15">
        <v>1.0</v>
      </c>
      <c r="I13" s="15">
        <v>1.0</v>
      </c>
      <c r="J13" s="15">
        <v>0.0</v>
      </c>
      <c r="K13" s="15">
        <v>0.0</v>
      </c>
      <c r="L13" s="15">
        <v>1.0</v>
      </c>
      <c r="M13" s="81">
        <v>1.0</v>
      </c>
      <c r="N13" s="15">
        <v>1.0</v>
      </c>
      <c r="O13" s="15">
        <v>1.0</v>
      </c>
      <c r="P13" s="15">
        <v>0.0</v>
      </c>
      <c r="Q13" s="14"/>
      <c r="U13" s="11" t="s">
        <v>20</v>
      </c>
      <c r="V13" s="12">
        <v>44877.0</v>
      </c>
      <c r="W13" s="15">
        <v>1.0</v>
      </c>
    </row>
    <row r="14">
      <c r="A14" s="11" t="s">
        <v>22</v>
      </c>
      <c r="B14" s="12">
        <v>44878.0</v>
      </c>
      <c r="C14" s="75">
        <v>0.0</v>
      </c>
      <c r="D14" s="15">
        <v>1.0</v>
      </c>
      <c r="E14" s="15">
        <v>1.0</v>
      </c>
      <c r="F14" s="15">
        <v>1.0</v>
      </c>
      <c r="G14" s="15">
        <v>1.0</v>
      </c>
      <c r="H14" s="15">
        <v>1.0</v>
      </c>
      <c r="I14" s="15">
        <v>1.0</v>
      </c>
      <c r="J14" s="15">
        <v>1.0</v>
      </c>
      <c r="K14" s="15">
        <v>0.0</v>
      </c>
      <c r="L14" s="15">
        <v>1.0</v>
      </c>
      <c r="M14" s="15">
        <v>1.0</v>
      </c>
      <c r="N14" s="15">
        <v>1.0</v>
      </c>
      <c r="O14" s="15">
        <v>0.0</v>
      </c>
      <c r="P14" s="15">
        <v>0.0</v>
      </c>
      <c r="Q14" s="14"/>
      <c r="U14" s="11" t="s">
        <v>22</v>
      </c>
      <c r="V14" s="12">
        <v>44878.0</v>
      </c>
      <c r="W14" s="15">
        <v>1.0</v>
      </c>
    </row>
    <row r="15">
      <c r="A15" s="11" t="s">
        <v>23</v>
      </c>
      <c r="B15" s="12">
        <v>44879.0</v>
      </c>
      <c r="C15" s="75">
        <v>0.0</v>
      </c>
      <c r="D15" s="15">
        <v>1.0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0.0</v>
      </c>
      <c r="K15" s="15">
        <v>0.0</v>
      </c>
      <c r="L15" s="15">
        <v>1.0</v>
      </c>
      <c r="M15" s="15">
        <v>0.0</v>
      </c>
      <c r="N15" s="15">
        <v>1.0</v>
      </c>
      <c r="O15" s="15">
        <v>0.0</v>
      </c>
      <c r="P15" s="15">
        <v>0.0</v>
      </c>
      <c r="Q15" s="14"/>
      <c r="U15" s="11" t="s">
        <v>23</v>
      </c>
      <c r="V15" s="12">
        <v>44879.0</v>
      </c>
      <c r="W15" s="15">
        <v>1.0</v>
      </c>
    </row>
    <row r="16">
      <c r="A16" s="11" t="s">
        <v>14</v>
      </c>
      <c r="B16" s="12">
        <v>44880.0</v>
      </c>
      <c r="C16" s="75">
        <v>0.0</v>
      </c>
      <c r="D16" s="15">
        <v>1.0</v>
      </c>
      <c r="E16" s="15">
        <v>1.0</v>
      </c>
      <c r="F16" s="15">
        <v>0.0</v>
      </c>
      <c r="G16" s="15">
        <v>1.0</v>
      </c>
      <c r="H16" s="15">
        <v>0.0</v>
      </c>
      <c r="I16" s="15">
        <v>1.0</v>
      </c>
      <c r="J16" s="15">
        <v>1.0</v>
      </c>
      <c r="K16" s="15">
        <v>0.0</v>
      </c>
      <c r="L16" s="15">
        <v>1.0</v>
      </c>
      <c r="M16" s="15">
        <v>1.0</v>
      </c>
      <c r="N16" s="15">
        <v>1.0</v>
      </c>
      <c r="O16" s="15">
        <v>0.5</v>
      </c>
      <c r="P16" s="15">
        <v>0.0</v>
      </c>
      <c r="Q16" s="14"/>
      <c r="U16" s="11" t="s">
        <v>14</v>
      </c>
      <c r="V16" s="12">
        <v>44880.0</v>
      </c>
      <c r="W16" s="15">
        <v>0.0</v>
      </c>
    </row>
    <row r="17">
      <c r="A17" s="11" t="s">
        <v>15</v>
      </c>
      <c r="B17" s="12">
        <v>44881.0</v>
      </c>
      <c r="C17" s="75">
        <v>0.0</v>
      </c>
      <c r="D17" s="15">
        <v>1.0</v>
      </c>
      <c r="E17" s="78">
        <v>0.0</v>
      </c>
      <c r="F17" s="15">
        <v>1.0</v>
      </c>
      <c r="G17" s="78">
        <v>1.0</v>
      </c>
      <c r="H17" s="78">
        <v>1.0</v>
      </c>
      <c r="I17" s="15">
        <v>1.0</v>
      </c>
      <c r="J17" s="15">
        <v>1.0</v>
      </c>
      <c r="K17" s="15">
        <v>0.0</v>
      </c>
      <c r="L17" s="15">
        <v>1.0</v>
      </c>
      <c r="M17" s="15">
        <v>1.0</v>
      </c>
      <c r="N17" s="78">
        <v>1.0</v>
      </c>
      <c r="O17" s="78">
        <v>1.0</v>
      </c>
      <c r="P17" s="78">
        <v>0.0</v>
      </c>
      <c r="Q17" s="14"/>
      <c r="U17" s="11" t="s">
        <v>15</v>
      </c>
      <c r="V17" s="12">
        <v>44881.0</v>
      </c>
      <c r="W17" s="78">
        <v>1.0</v>
      </c>
    </row>
    <row r="18">
      <c r="A18" s="11" t="s">
        <v>16</v>
      </c>
      <c r="B18" s="12">
        <v>44882.0</v>
      </c>
      <c r="C18" s="11">
        <v>0.0</v>
      </c>
      <c r="D18" s="15">
        <v>1.0</v>
      </c>
      <c r="E18" s="15">
        <v>0.0</v>
      </c>
      <c r="F18" s="15">
        <v>1.0</v>
      </c>
      <c r="G18" s="15">
        <v>0.0</v>
      </c>
      <c r="H18" s="15">
        <v>1.0</v>
      </c>
      <c r="I18" s="78">
        <v>1.0</v>
      </c>
      <c r="J18" s="15">
        <v>1.0</v>
      </c>
      <c r="K18" s="15">
        <v>0.0</v>
      </c>
      <c r="L18" s="15">
        <v>0.0</v>
      </c>
      <c r="M18" s="78">
        <v>1.0</v>
      </c>
      <c r="N18" s="15">
        <v>1.0</v>
      </c>
      <c r="O18" s="15">
        <v>1.0</v>
      </c>
      <c r="P18" s="15">
        <v>0.0</v>
      </c>
      <c r="Q18" s="14"/>
      <c r="U18" s="11" t="s">
        <v>16</v>
      </c>
      <c r="V18" s="12">
        <v>44882.0</v>
      </c>
      <c r="W18" s="15">
        <v>1.0</v>
      </c>
    </row>
    <row r="19">
      <c r="A19" s="26" t="s">
        <v>19</v>
      </c>
      <c r="B19" s="27">
        <v>44883.0</v>
      </c>
      <c r="C19" s="79">
        <v>1.0</v>
      </c>
      <c r="D19" s="30">
        <v>0.0</v>
      </c>
      <c r="E19" s="30">
        <v>0.0</v>
      </c>
      <c r="F19" s="30">
        <v>1.0</v>
      </c>
      <c r="G19" s="30">
        <v>0.0</v>
      </c>
      <c r="H19" s="30">
        <v>1.0</v>
      </c>
      <c r="I19" s="30">
        <v>0.0</v>
      </c>
      <c r="J19" s="30">
        <v>1.0</v>
      </c>
      <c r="K19" s="30">
        <v>0.0</v>
      </c>
      <c r="L19" s="30">
        <v>1.0</v>
      </c>
      <c r="M19" s="30">
        <v>1.0</v>
      </c>
      <c r="N19" s="84">
        <v>0.0</v>
      </c>
      <c r="O19" s="84">
        <v>1.0</v>
      </c>
      <c r="P19" s="84">
        <v>0.0</v>
      </c>
      <c r="Q19" s="29"/>
      <c r="U19" s="26" t="s">
        <v>19</v>
      </c>
      <c r="V19" s="27">
        <v>44883.0</v>
      </c>
      <c r="W19" s="30">
        <v>1.0</v>
      </c>
    </row>
    <row r="20">
      <c r="A20" s="11" t="s">
        <v>20</v>
      </c>
      <c r="B20" s="12">
        <v>44884.0</v>
      </c>
      <c r="C20" s="11">
        <v>0.0</v>
      </c>
      <c r="D20" s="15">
        <v>1.0</v>
      </c>
      <c r="E20" s="15">
        <v>1.0</v>
      </c>
      <c r="F20" s="15">
        <v>1.0</v>
      </c>
      <c r="G20" s="15">
        <v>1.0</v>
      </c>
      <c r="H20" s="15">
        <v>1.0</v>
      </c>
      <c r="I20" s="15">
        <v>0.0</v>
      </c>
      <c r="J20" s="15">
        <v>1.0</v>
      </c>
      <c r="K20" s="15">
        <v>0.0</v>
      </c>
      <c r="L20" s="15">
        <v>1.0</v>
      </c>
      <c r="M20" s="78">
        <v>1.0</v>
      </c>
      <c r="N20" s="15">
        <v>1.0</v>
      </c>
      <c r="O20" s="15">
        <v>1.0</v>
      </c>
      <c r="P20" s="15">
        <v>0.0</v>
      </c>
      <c r="Q20" s="14"/>
      <c r="U20" s="11" t="s">
        <v>20</v>
      </c>
      <c r="V20" s="12">
        <v>44884.0</v>
      </c>
      <c r="W20" s="15">
        <v>1.0</v>
      </c>
    </row>
    <row r="21">
      <c r="A21" s="11" t="s">
        <v>22</v>
      </c>
      <c r="B21" s="12">
        <v>44885.0</v>
      </c>
      <c r="C21" s="75">
        <v>0.0</v>
      </c>
      <c r="D21" s="15">
        <v>1.0</v>
      </c>
      <c r="E21" s="15">
        <v>1.0</v>
      </c>
      <c r="F21" s="85">
        <v>0.0</v>
      </c>
      <c r="G21" s="15">
        <v>1.0</v>
      </c>
      <c r="H21" s="15">
        <v>1.0</v>
      </c>
      <c r="I21" s="15">
        <v>1.0</v>
      </c>
      <c r="J21" s="15">
        <v>1.0</v>
      </c>
      <c r="K21" s="15">
        <v>0.0</v>
      </c>
      <c r="L21" s="15">
        <v>1.0</v>
      </c>
      <c r="M21" s="15">
        <v>1.0</v>
      </c>
      <c r="N21" s="15">
        <v>1.0</v>
      </c>
      <c r="O21" s="15">
        <v>0.0</v>
      </c>
      <c r="P21" s="15">
        <v>0.0</v>
      </c>
      <c r="Q21" s="14"/>
      <c r="U21" s="11" t="s">
        <v>22</v>
      </c>
      <c r="V21" s="12">
        <v>44885.0</v>
      </c>
      <c r="W21" s="15">
        <v>1.0</v>
      </c>
    </row>
    <row r="22">
      <c r="A22" s="11" t="s">
        <v>23</v>
      </c>
      <c r="B22" s="12">
        <v>44886.0</v>
      </c>
      <c r="C22" s="75">
        <v>0.0</v>
      </c>
      <c r="D22" s="15">
        <v>1.0</v>
      </c>
      <c r="E22" s="15">
        <v>1.0</v>
      </c>
      <c r="F22" s="85">
        <v>0.0</v>
      </c>
      <c r="G22" s="15">
        <v>1.0</v>
      </c>
      <c r="H22" s="15">
        <v>0.0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1.0</v>
      </c>
      <c r="O22" s="15">
        <v>0.0</v>
      </c>
      <c r="P22" s="15">
        <v>0.0</v>
      </c>
      <c r="Q22" s="14"/>
      <c r="U22" s="11" t="s">
        <v>23</v>
      </c>
      <c r="V22" s="12">
        <v>44886.0</v>
      </c>
      <c r="W22" s="15">
        <v>0.0</v>
      </c>
    </row>
    <row r="23">
      <c r="A23" s="11" t="s">
        <v>14</v>
      </c>
      <c r="B23" s="12">
        <v>44887.0</v>
      </c>
      <c r="C23" s="75">
        <v>0.0</v>
      </c>
      <c r="D23" s="15">
        <v>1.0</v>
      </c>
      <c r="E23" s="15">
        <v>1.0</v>
      </c>
      <c r="F23" s="85">
        <v>0.0</v>
      </c>
      <c r="G23" s="15">
        <v>0.0</v>
      </c>
      <c r="H23" s="15">
        <v>1.0</v>
      </c>
      <c r="I23" s="15">
        <v>1.0</v>
      </c>
      <c r="J23" s="15">
        <v>1.0</v>
      </c>
      <c r="K23" s="15">
        <v>1.5</v>
      </c>
      <c r="L23" s="15">
        <v>1.0</v>
      </c>
      <c r="M23" s="15">
        <v>1.0</v>
      </c>
      <c r="N23" s="15">
        <v>1.0</v>
      </c>
      <c r="O23" s="15">
        <v>1.5</v>
      </c>
      <c r="P23" s="15">
        <v>0.0</v>
      </c>
      <c r="Q23" s="86"/>
      <c r="U23" s="11" t="s">
        <v>14</v>
      </c>
      <c r="V23" s="12">
        <v>44887.0</v>
      </c>
      <c r="W23" s="15">
        <v>1.0</v>
      </c>
    </row>
    <row r="24">
      <c r="A24" s="11" t="s">
        <v>15</v>
      </c>
      <c r="B24" s="12">
        <v>44888.0</v>
      </c>
      <c r="C24" s="75">
        <v>0.0</v>
      </c>
      <c r="D24" s="15">
        <v>1.0</v>
      </c>
      <c r="E24" s="15">
        <v>1.0</v>
      </c>
      <c r="F24" s="85">
        <v>0.0</v>
      </c>
      <c r="G24" s="15">
        <v>0.0</v>
      </c>
      <c r="H24" s="15">
        <v>1.0</v>
      </c>
      <c r="I24" s="15">
        <v>1.0</v>
      </c>
      <c r="J24" s="15">
        <v>1.0</v>
      </c>
      <c r="K24" s="15">
        <v>1.5</v>
      </c>
      <c r="L24" s="15">
        <v>1.0</v>
      </c>
      <c r="M24" s="15">
        <v>1.0</v>
      </c>
      <c r="N24" s="15">
        <v>1.0</v>
      </c>
      <c r="O24" s="15">
        <v>1.5</v>
      </c>
      <c r="P24" s="15">
        <v>0.0</v>
      </c>
      <c r="Q24" s="14"/>
      <c r="U24" s="11" t="s">
        <v>15</v>
      </c>
      <c r="V24" s="12">
        <v>44888.0</v>
      </c>
      <c r="W24" s="15">
        <v>1.0</v>
      </c>
    </row>
    <row r="25">
      <c r="A25" s="11" t="s">
        <v>16</v>
      </c>
      <c r="B25" s="12">
        <v>44889.0</v>
      </c>
      <c r="C25" s="75">
        <v>0.0</v>
      </c>
      <c r="D25" s="15">
        <v>1.0</v>
      </c>
      <c r="E25" s="15">
        <v>1.0</v>
      </c>
      <c r="F25" s="85">
        <v>0.0</v>
      </c>
      <c r="G25" s="15">
        <v>0.0</v>
      </c>
      <c r="H25" s="15">
        <v>1.0</v>
      </c>
      <c r="I25" s="15">
        <v>1.0</v>
      </c>
      <c r="J25" s="15">
        <v>1.0</v>
      </c>
      <c r="K25" s="15">
        <v>1.5</v>
      </c>
      <c r="L25" s="15">
        <v>1.0</v>
      </c>
      <c r="M25" s="15">
        <v>0.0</v>
      </c>
      <c r="N25" s="15">
        <v>1.0</v>
      </c>
      <c r="O25" s="15">
        <v>1.5</v>
      </c>
      <c r="P25" s="15">
        <v>0.0</v>
      </c>
      <c r="Q25" s="14"/>
      <c r="U25" s="11" t="s">
        <v>16</v>
      </c>
      <c r="V25" s="12">
        <v>44889.0</v>
      </c>
      <c r="W25" s="15">
        <v>1.0</v>
      </c>
    </row>
    <row r="26">
      <c r="A26" s="26" t="s">
        <v>19</v>
      </c>
      <c r="B26" s="27">
        <v>44890.0</v>
      </c>
      <c r="C26" s="79">
        <v>0.0</v>
      </c>
      <c r="D26" s="30">
        <v>0.0</v>
      </c>
      <c r="E26" s="30">
        <v>1.5</v>
      </c>
      <c r="F26" s="85">
        <v>1.0</v>
      </c>
      <c r="G26" s="30">
        <v>1.0</v>
      </c>
      <c r="H26" s="30">
        <v>1.0</v>
      </c>
      <c r="I26" s="30">
        <v>1.0</v>
      </c>
      <c r="J26" s="30">
        <v>1.5</v>
      </c>
      <c r="K26" s="30">
        <v>1.5</v>
      </c>
      <c r="L26" s="30">
        <v>0.0</v>
      </c>
      <c r="M26" s="30">
        <v>1.0</v>
      </c>
      <c r="N26" s="30">
        <v>1.0</v>
      </c>
      <c r="O26" s="30">
        <v>1.5</v>
      </c>
      <c r="P26" s="87"/>
      <c r="Q26" s="29"/>
      <c r="U26" s="26" t="s">
        <v>19</v>
      </c>
      <c r="V26" s="27">
        <v>44890.0</v>
      </c>
      <c r="W26" s="30">
        <v>1.0</v>
      </c>
    </row>
    <row r="27">
      <c r="A27" s="11" t="s">
        <v>20</v>
      </c>
      <c r="B27" s="12">
        <v>44891.0</v>
      </c>
      <c r="C27" s="75">
        <v>0.0</v>
      </c>
      <c r="D27" s="15">
        <v>1.0</v>
      </c>
      <c r="E27" s="15">
        <v>1.0</v>
      </c>
      <c r="F27" s="85">
        <v>1.0</v>
      </c>
      <c r="G27" s="15">
        <v>1.0</v>
      </c>
      <c r="H27" s="15">
        <v>0.0</v>
      </c>
      <c r="I27" s="15">
        <v>0.0</v>
      </c>
      <c r="J27" s="15">
        <v>1.0</v>
      </c>
      <c r="K27" s="15">
        <v>1.0</v>
      </c>
      <c r="L27" s="15">
        <v>1.0</v>
      </c>
      <c r="M27" s="15">
        <v>0.0</v>
      </c>
      <c r="N27" s="15">
        <v>1.0</v>
      </c>
      <c r="O27" s="15">
        <v>1.0</v>
      </c>
      <c r="P27" s="15">
        <v>0.0</v>
      </c>
      <c r="Q27" s="14"/>
      <c r="U27" s="11" t="s">
        <v>20</v>
      </c>
      <c r="V27" s="12">
        <v>44891.0</v>
      </c>
      <c r="W27" s="15">
        <v>0.0</v>
      </c>
    </row>
    <row r="28">
      <c r="A28" s="11" t="s">
        <v>22</v>
      </c>
      <c r="B28" s="12">
        <v>44892.0</v>
      </c>
      <c r="C28" s="75">
        <v>0.0</v>
      </c>
      <c r="D28" s="15">
        <v>1.0</v>
      </c>
      <c r="E28" s="88">
        <v>1.0</v>
      </c>
      <c r="F28" s="8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0.0</v>
      </c>
      <c r="L28" s="15">
        <v>1.0</v>
      </c>
      <c r="M28" s="15">
        <v>1.0</v>
      </c>
      <c r="N28" s="15">
        <v>0.0</v>
      </c>
      <c r="O28" s="15">
        <v>0.0</v>
      </c>
      <c r="P28" s="15">
        <v>0.0</v>
      </c>
      <c r="Q28" s="14"/>
      <c r="U28" s="11" t="s">
        <v>22</v>
      </c>
      <c r="V28" s="12">
        <v>44892.0</v>
      </c>
      <c r="W28" s="15">
        <v>1.0</v>
      </c>
    </row>
    <row r="29">
      <c r="A29" s="11" t="s">
        <v>23</v>
      </c>
      <c r="B29" s="12">
        <v>44893.0</v>
      </c>
      <c r="C29" s="75">
        <v>0.0</v>
      </c>
      <c r="D29" s="89">
        <v>1.0</v>
      </c>
      <c r="E29" s="89">
        <v>1.0</v>
      </c>
      <c r="F29" s="90">
        <v>1.0</v>
      </c>
      <c r="G29" s="89">
        <v>1.0</v>
      </c>
      <c r="H29" s="89">
        <v>1.0</v>
      </c>
      <c r="I29" s="89">
        <v>1.0</v>
      </c>
      <c r="J29" s="89">
        <v>1.0</v>
      </c>
      <c r="K29" s="89">
        <v>0.0</v>
      </c>
      <c r="L29" s="89">
        <v>0.0</v>
      </c>
      <c r="M29" s="89">
        <v>1.0</v>
      </c>
      <c r="N29" s="89">
        <v>1.0</v>
      </c>
      <c r="O29" s="89">
        <v>0.0</v>
      </c>
      <c r="P29" s="89">
        <v>0.0</v>
      </c>
      <c r="Q29" s="14"/>
      <c r="U29" s="11" t="s">
        <v>23</v>
      </c>
      <c r="V29" s="12">
        <v>44893.0</v>
      </c>
      <c r="W29" s="89">
        <v>1.0</v>
      </c>
    </row>
    <row r="30">
      <c r="A30" s="11" t="s">
        <v>14</v>
      </c>
      <c r="B30" s="12">
        <v>44894.0</v>
      </c>
      <c r="C30" s="75">
        <v>0.0</v>
      </c>
      <c r="D30" s="91">
        <v>1.0</v>
      </c>
      <c r="E30" s="91">
        <v>1.0</v>
      </c>
      <c r="F30" s="92">
        <v>0.0</v>
      </c>
      <c r="G30" s="91">
        <v>0.0</v>
      </c>
      <c r="H30" s="91">
        <v>1.0</v>
      </c>
      <c r="I30" s="91">
        <v>1.0</v>
      </c>
      <c r="J30" s="91">
        <v>1.0</v>
      </c>
      <c r="K30" s="91">
        <v>1.0</v>
      </c>
      <c r="L30" s="91">
        <v>0.0</v>
      </c>
      <c r="M30" s="91">
        <v>1.0</v>
      </c>
      <c r="N30" s="91">
        <v>1.0</v>
      </c>
      <c r="O30" s="91">
        <v>0.5</v>
      </c>
      <c r="P30" s="91">
        <v>0.0</v>
      </c>
      <c r="Q30" s="14"/>
      <c r="U30" s="11" t="s">
        <v>14</v>
      </c>
      <c r="V30" s="12">
        <v>44894.0</v>
      </c>
      <c r="W30" s="91">
        <v>1.0</v>
      </c>
    </row>
    <row r="31">
      <c r="A31" s="11" t="s">
        <v>15</v>
      </c>
      <c r="B31" s="12">
        <v>44895.0</v>
      </c>
      <c r="C31" s="75">
        <v>0.0</v>
      </c>
      <c r="D31" s="91">
        <v>1.0</v>
      </c>
      <c r="E31" s="91">
        <v>1.0</v>
      </c>
      <c r="F31" s="92">
        <v>0.0</v>
      </c>
      <c r="G31" s="91">
        <v>0.0</v>
      </c>
      <c r="H31" s="91">
        <v>1.0</v>
      </c>
      <c r="I31" s="91">
        <v>1.0</v>
      </c>
      <c r="J31" s="91">
        <v>1.0</v>
      </c>
      <c r="K31" s="91">
        <v>1.0</v>
      </c>
      <c r="L31" s="91">
        <v>0.0</v>
      </c>
      <c r="M31" s="91">
        <v>1.0</v>
      </c>
      <c r="N31" s="91">
        <v>1.0</v>
      </c>
      <c r="O31" s="91">
        <v>1.5</v>
      </c>
      <c r="P31" s="91">
        <v>0.0</v>
      </c>
      <c r="Q31" s="14"/>
      <c r="U31" s="11" t="s">
        <v>15</v>
      </c>
      <c r="V31" s="12">
        <v>44895.0</v>
      </c>
      <c r="W31" s="91">
        <v>1.0</v>
      </c>
    </row>
    <row r="32">
      <c r="B32" s="93"/>
      <c r="C32" s="94">
        <f t="shared" ref="C32:P32" si="1">SUM(C2:C31)</f>
        <v>4</v>
      </c>
      <c r="D32" s="95">
        <f t="shared" si="1"/>
        <v>21</v>
      </c>
      <c r="E32" s="95">
        <f t="shared" si="1"/>
        <v>25.5</v>
      </c>
      <c r="F32" s="95">
        <f t="shared" si="1"/>
        <v>20</v>
      </c>
      <c r="G32" s="95">
        <f t="shared" si="1"/>
        <v>16</v>
      </c>
      <c r="H32" s="95">
        <f t="shared" si="1"/>
        <v>27</v>
      </c>
      <c r="I32" s="95">
        <f t="shared" si="1"/>
        <v>26</v>
      </c>
      <c r="J32" s="95">
        <f t="shared" si="1"/>
        <v>25.5</v>
      </c>
      <c r="K32" s="95">
        <f t="shared" si="1"/>
        <v>13.5</v>
      </c>
      <c r="L32" s="95">
        <f t="shared" si="1"/>
        <v>17</v>
      </c>
      <c r="M32" s="95">
        <f t="shared" si="1"/>
        <v>25</v>
      </c>
      <c r="N32" s="95">
        <f t="shared" si="1"/>
        <v>21</v>
      </c>
      <c r="O32" s="95">
        <f t="shared" si="1"/>
        <v>20</v>
      </c>
      <c r="P32" s="95">
        <f t="shared" si="1"/>
        <v>0</v>
      </c>
      <c r="Q32" s="96"/>
      <c r="V32" s="93"/>
      <c r="W32" s="97">
        <f>SUM(W2:W31)</f>
        <v>27</v>
      </c>
    </row>
    <row r="33">
      <c r="B33" s="93"/>
      <c r="C33" s="94">
        <v>1200.0</v>
      </c>
      <c r="D33" s="95">
        <v>1111.0</v>
      </c>
      <c r="E33" s="95">
        <v>1111.0</v>
      </c>
      <c r="F33" s="98">
        <v>1000.0</v>
      </c>
      <c r="G33" s="95">
        <v>1111.0</v>
      </c>
      <c r="H33" s="95">
        <v>1150.0</v>
      </c>
      <c r="I33" s="95">
        <v>1111.0</v>
      </c>
      <c r="J33" s="95">
        <v>1111.0</v>
      </c>
      <c r="K33" s="95">
        <v>1000.0</v>
      </c>
      <c r="L33" s="95">
        <v>1200.0</v>
      </c>
      <c r="M33" s="98">
        <v>1000.0</v>
      </c>
      <c r="N33" s="98">
        <v>800.0</v>
      </c>
      <c r="O33" s="95">
        <v>1000.0</v>
      </c>
      <c r="P33" s="95">
        <v>1000.0</v>
      </c>
      <c r="Q33" s="96"/>
      <c r="V33" s="93"/>
      <c r="W33" s="97">
        <v>1150.0</v>
      </c>
    </row>
    <row r="34">
      <c r="B34" s="99"/>
      <c r="C34" s="100">
        <f t="shared" ref="C34:P34" si="2">C33*C32</f>
        <v>4800</v>
      </c>
      <c r="D34" s="101">
        <f t="shared" si="2"/>
        <v>23331</v>
      </c>
      <c r="E34" s="101">
        <f t="shared" si="2"/>
        <v>28330.5</v>
      </c>
      <c r="F34" s="101">
        <f t="shared" si="2"/>
        <v>20000</v>
      </c>
      <c r="G34" s="101">
        <f t="shared" si="2"/>
        <v>17776</v>
      </c>
      <c r="H34" s="101">
        <f t="shared" si="2"/>
        <v>31050</v>
      </c>
      <c r="I34" s="101">
        <f t="shared" si="2"/>
        <v>28886</v>
      </c>
      <c r="J34" s="101">
        <f t="shared" si="2"/>
        <v>28330.5</v>
      </c>
      <c r="K34" s="101">
        <f t="shared" si="2"/>
        <v>13500</v>
      </c>
      <c r="L34" s="101">
        <f t="shared" si="2"/>
        <v>20400</v>
      </c>
      <c r="M34" s="101">
        <f t="shared" si="2"/>
        <v>25000</v>
      </c>
      <c r="N34" s="101">
        <f t="shared" si="2"/>
        <v>16800</v>
      </c>
      <c r="O34" s="101">
        <f t="shared" si="2"/>
        <v>20000</v>
      </c>
      <c r="P34" s="101">
        <f t="shared" si="2"/>
        <v>0</v>
      </c>
      <c r="Q34" s="57">
        <f>SUM(C34:P34)</f>
        <v>278204</v>
      </c>
      <c r="V34" s="99"/>
      <c r="W34" s="102">
        <f>W33*W32</f>
        <v>31050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3.88"/>
    <col customWidth="1" min="6" max="7" width="38.13"/>
    <col customWidth="1" min="8" max="8" width="38.38"/>
    <col customWidth="1" min="9" max="9" width="37.63"/>
  </cols>
  <sheetData>
    <row r="2">
      <c r="E2" s="103" t="s">
        <v>60</v>
      </c>
      <c r="F2" s="104" t="s">
        <v>61</v>
      </c>
      <c r="G2" s="104" t="s">
        <v>62</v>
      </c>
      <c r="H2" s="104" t="s">
        <v>63</v>
      </c>
      <c r="I2" s="104" t="s">
        <v>64</v>
      </c>
    </row>
    <row r="3">
      <c r="E3" s="105" t="s">
        <v>65</v>
      </c>
      <c r="F3" s="106">
        <v>6.0</v>
      </c>
      <c r="G3" s="106">
        <v>500.0</v>
      </c>
      <c r="H3" s="107">
        <f t="shared" ref="H3:H31" si="1">G3*F3</f>
        <v>3000</v>
      </c>
      <c r="I3" s="108">
        <v>44860.0</v>
      </c>
    </row>
    <row r="4">
      <c r="E4" s="105" t="s">
        <v>66</v>
      </c>
      <c r="F4" s="106">
        <v>12.0</v>
      </c>
      <c r="G4" s="106">
        <v>215.0</v>
      </c>
      <c r="H4" s="107">
        <f t="shared" si="1"/>
        <v>2580</v>
      </c>
      <c r="I4" s="108">
        <v>44859.0</v>
      </c>
    </row>
    <row r="5">
      <c r="E5" s="109" t="s">
        <v>67</v>
      </c>
      <c r="F5" s="110">
        <v>2.0</v>
      </c>
      <c r="G5" s="111">
        <v>390.0</v>
      </c>
      <c r="H5" s="112">
        <f t="shared" si="1"/>
        <v>780</v>
      </c>
      <c r="I5" s="113">
        <v>44859.0</v>
      </c>
    </row>
    <row r="6">
      <c r="E6" s="109" t="s">
        <v>68</v>
      </c>
      <c r="F6" s="111">
        <v>10.0</v>
      </c>
      <c r="G6" s="111">
        <v>1580.0</v>
      </c>
      <c r="H6" s="112">
        <f t="shared" si="1"/>
        <v>15800</v>
      </c>
      <c r="I6" s="113">
        <v>44859.0</v>
      </c>
    </row>
    <row r="7">
      <c r="E7" s="109" t="s">
        <v>69</v>
      </c>
      <c r="F7" s="111">
        <v>5.0</v>
      </c>
      <c r="G7" s="111">
        <v>760.0</v>
      </c>
      <c r="H7" s="112">
        <f t="shared" si="1"/>
        <v>3800</v>
      </c>
      <c r="I7" s="113">
        <v>44859.0</v>
      </c>
    </row>
    <row r="8">
      <c r="E8" s="109" t="s">
        <v>70</v>
      </c>
      <c r="F8" s="111">
        <v>1.0</v>
      </c>
      <c r="G8" s="111">
        <v>1100.0</v>
      </c>
      <c r="H8" s="112">
        <f t="shared" si="1"/>
        <v>1100</v>
      </c>
      <c r="I8" s="113">
        <v>44859.0</v>
      </c>
    </row>
    <row r="9">
      <c r="E9" s="109" t="s">
        <v>71</v>
      </c>
      <c r="F9" s="111">
        <v>1.0</v>
      </c>
      <c r="G9" s="111">
        <v>650.0</v>
      </c>
      <c r="H9" s="112">
        <f t="shared" si="1"/>
        <v>650</v>
      </c>
      <c r="I9" s="113">
        <v>44859.0</v>
      </c>
    </row>
    <row r="10">
      <c r="E10" s="109" t="s">
        <v>72</v>
      </c>
      <c r="F10" s="111">
        <v>1.0</v>
      </c>
      <c r="G10" s="111">
        <v>4600.0</v>
      </c>
      <c r="H10" s="112">
        <f t="shared" si="1"/>
        <v>4600</v>
      </c>
      <c r="I10" s="113">
        <v>44859.0</v>
      </c>
    </row>
    <row r="11">
      <c r="E11" s="109" t="s">
        <v>73</v>
      </c>
      <c r="F11" s="111">
        <v>16.0</v>
      </c>
      <c r="G11" s="111">
        <v>100.0</v>
      </c>
      <c r="H11" s="112">
        <f t="shared" si="1"/>
        <v>1600</v>
      </c>
      <c r="I11" s="113">
        <v>44859.0</v>
      </c>
    </row>
    <row r="12">
      <c r="E12" s="105" t="s">
        <v>74</v>
      </c>
      <c r="F12" s="106">
        <v>1.0</v>
      </c>
      <c r="G12" s="106">
        <v>1000.0</v>
      </c>
      <c r="H12" s="107">
        <f t="shared" si="1"/>
        <v>1000</v>
      </c>
      <c r="I12" s="108">
        <v>44859.0</v>
      </c>
    </row>
    <row r="13">
      <c r="E13" s="109" t="s">
        <v>75</v>
      </c>
      <c r="F13" s="111">
        <v>1.0</v>
      </c>
      <c r="G13" s="111">
        <v>200.0</v>
      </c>
      <c r="H13" s="112">
        <f t="shared" si="1"/>
        <v>200</v>
      </c>
      <c r="I13" s="113">
        <v>44859.0</v>
      </c>
    </row>
    <row r="14">
      <c r="E14" s="109" t="s">
        <v>76</v>
      </c>
      <c r="F14" s="111">
        <v>1.0</v>
      </c>
      <c r="G14" s="111">
        <v>1000.0</v>
      </c>
      <c r="H14" s="112">
        <f t="shared" si="1"/>
        <v>1000</v>
      </c>
      <c r="I14" s="113">
        <v>44859.0</v>
      </c>
    </row>
    <row r="15">
      <c r="E15" s="109" t="s">
        <v>77</v>
      </c>
      <c r="F15" s="111">
        <v>1.0</v>
      </c>
      <c r="G15" s="111">
        <v>1600.0</v>
      </c>
      <c r="H15" s="112">
        <f t="shared" si="1"/>
        <v>1600</v>
      </c>
      <c r="I15" s="113">
        <v>44859.0</v>
      </c>
    </row>
    <row r="16">
      <c r="E16" s="109" t="s">
        <v>78</v>
      </c>
      <c r="F16" s="110">
        <v>8.0</v>
      </c>
      <c r="G16" s="111">
        <v>500.0</v>
      </c>
      <c r="H16" s="112">
        <f t="shared" si="1"/>
        <v>4000</v>
      </c>
      <c r="I16" s="113">
        <v>44859.0</v>
      </c>
    </row>
    <row r="17">
      <c r="E17" s="105" t="s">
        <v>79</v>
      </c>
      <c r="F17" s="106">
        <v>10.0</v>
      </c>
      <c r="G17" s="106">
        <v>1200.0</v>
      </c>
      <c r="H17" s="107">
        <f t="shared" si="1"/>
        <v>12000</v>
      </c>
      <c r="I17" s="108">
        <v>44858.0</v>
      </c>
    </row>
    <row r="18">
      <c r="E18" s="109" t="s">
        <v>80</v>
      </c>
      <c r="F18" s="111">
        <v>100.0</v>
      </c>
      <c r="G18" s="111">
        <v>50.0</v>
      </c>
      <c r="H18" s="112">
        <f t="shared" si="1"/>
        <v>5000</v>
      </c>
      <c r="I18" s="113">
        <v>44858.0</v>
      </c>
    </row>
    <row r="19">
      <c r="E19" s="109" t="s">
        <v>81</v>
      </c>
      <c r="F19" s="110">
        <v>5.0</v>
      </c>
      <c r="G19" s="111">
        <v>250.0</v>
      </c>
      <c r="H19" s="112">
        <f t="shared" si="1"/>
        <v>1250</v>
      </c>
      <c r="I19" s="113">
        <v>44858.0</v>
      </c>
    </row>
    <row r="20">
      <c r="E20" s="105" t="s">
        <v>82</v>
      </c>
      <c r="F20" s="106">
        <v>32.0</v>
      </c>
      <c r="G20" s="106">
        <v>225.0</v>
      </c>
      <c r="H20" s="107">
        <f t="shared" si="1"/>
        <v>7200</v>
      </c>
      <c r="I20" s="108">
        <v>44856.0</v>
      </c>
    </row>
    <row r="21">
      <c r="E21" s="105" t="s">
        <v>83</v>
      </c>
      <c r="F21" s="106">
        <v>5.0</v>
      </c>
      <c r="G21" s="106">
        <v>200.0</v>
      </c>
      <c r="H21" s="107">
        <f t="shared" si="1"/>
        <v>1000</v>
      </c>
      <c r="I21" s="108">
        <v>44854.0</v>
      </c>
    </row>
    <row r="22">
      <c r="E22" s="109" t="s">
        <v>84</v>
      </c>
      <c r="F22" s="114"/>
      <c r="G22" s="115"/>
      <c r="H22" s="112">
        <f t="shared" si="1"/>
        <v>0</v>
      </c>
      <c r="I22" s="115"/>
    </row>
    <row r="23">
      <c r="E23" s="116" t="s">
        <v>85</v>
      </c>
      <c r="F23" s="117">
        <v>1.0</v>
      </c>
      <c r="G23" s="117">
        <v>4010.0</v>
      </c>
      <c r="H23" s="118">
        <f t="shared" si="1"/>
        <v>4010</v>
      </c>
      <c r="I23" s="115"/>
    </row>
    <row r="24">
      <c r="E24" s="109" t="s">
        <v>86</v>
      </c>
      <c r="F24" s="110">
        <v>12.0</v>
      </c>
      <c r="G24" s="111">
        <v>370.0</v>
      </c>
      <c r="H24" s="112">
        <f t="shared" si="1"/>
        <v>4440</v>
      </c>
      <c r="I24" s="113">
        <v>44854.0</v>
      </c>
    </row>
    <row r="25">
      <c r="E25" s="109" t="s">
        <v>87</v>
      </c>
      <c r="F25" s="111">
        <v>6.0</v>
      </c>
      <c r="G25" s="111">
        <v>1850.0</v>
      </c>
      <c r="H25" s="112">
        <f t="shared" si="1"/>
        <v>11100</v>
      </c>
      <c r="I25" s="113">
        <v>44854.0</v>
      </c>
    </row>
    <row r="26">
      <c r="E26" s="109" t="s">
        <v>88</v>
      </c>
      <c r="F26" s="111">
        <v>3.9</v>
      </c>
      <c r="G26" s="111">
        <v>2200.0</v>
      </c>
      <c r="H26" s="112">
        <f t="shared" si="1"/>
        <v>8580</v>
      </c>
      <c r="I26" s="113">
        <v>44854.0</v>
      </c>
    </row>
    <row r="27">
      <c r="E27" s="109" t="s">
        <v>89</v>
      </c>
      <c r="F27" s="111">
        <v>2.2</v>
      </c>
      <c r="G27" s="111">
        <v>2450.0</v>
      </c>
      <c r="H27" s="112">
        <f t="shared" si="1"/>
        <v>5390</v>
      </c>
      <c r="I27" s="113">
        <v>44854.0</v>
      </c>
    </row>
    <row r="28">
      <c r="E28" s="109" t="s">
        <v>90</v>
      </c>
      <c r="F28" s="111">
        <v>2.0</v>
      </c>
      <c r="G28" s="111">
        <v>680.0</v>
      </c>
      <c r="H28" s="112">
        <f t="shared" si="1"/>
        <v>1360</v>
      </c>
      <c r="I28" s="113">
        <v>44854.0</v>
      </c>
    </row>
    <row r="29">
      <c r="E29" s="109" t="s">
        <v>91</v>
      </c>
      <c r="F29" s="111">
        <v>1.6</v>
      </c>
      <c r="G29" s="111">
        <v>2100.0</v>
      </c>
      <c r="H29" s="112">
        <f t="shared" si="1"/>
        <v>3360</v>
      </c>
      <c r="I29" s="113">
        <v>44854.0</v>
      </c>
    </row>
    <row r="30">
      <c r="E30" s="109" t="s">
        <v>92</v>
      </c>
      <c r="F30" s="111">
        <v>14.0</v>
      </c>
      <c r="G30" s="111">
        <v>175.0</v>
      </c>
      <c r="H30" s="112">
        <f t="shared" si="1"/>
        <v>2450</v>
      </c>
      <c r="I30" s="113">
        <v>44854.0</v>
      </c>
    </row>
    <row r="31">
      <c r="E31" s="109" t="s">
        <v>93</v>
      </c>
      <c r="F31" s="111">
        <v>3.0</v>
      </c>
      <c r="G31" s="111">
        <v>1300.0</v>
      </c>
      <c r="H31" s="112">
        <f t="shared" si="1"/>
        <v>3900</v>
      </c>
      <c r="I31" s="113">
        <v>44854.0</v>
      </c>
    </row>
    <row r="32">
      <c r="E32" s="105" t="s">
        <v>94</v>
      </c>
      <c r="F32" s="106">
        <v>2.0</v>
      </c>
      <c r="G32" s="106">
        <v>1300.0</v>
      </c>
      <c r="H32" s="107">
        <f t="shared" ref="H32:H35" si="2">F32*G32</f>
        <v>2600</v>
      </c>
      <c r="I32" s="108">
        <v>44854.0</v>
      </c>
    </row>
    <row r="33">
      <c r="E33" s="109" t="s">
        <v>95</v>
      </c>
      <c r="F33" s="111">
        <v>2.0</v>
      </c>
      <c r="G33" s="111">
        <v>1300.0</v>
      </c>
      <c r="H33" s="112">
        <f t="shared" si="2"/>
        <v>2600</v>
      </c>
      <c r="I33" s="113">
        <v>44854.0</v>
      </c>
    </row>
    <row r="34">
      <c r="E34" s="109" t="s">
        <v>96</v>
      </c>
      <c r="F34" s="111">
        <v>3.0</v>
      </c>
      <c r="G34" s="111">
        <v>450.0</v>
      </c>
      <c r="H34" s="112">
        <f t="shared" si="2"/>
        <v>1350</v>
      </c>
      <c r="I34" s="113">
        <v>44854.0</v>
      </c>
    </row>
    <row r="35">
      <c r="E35" s="119" t="s">
        <v>97</v>
      </c>
      <c r="F35" s="120">
        <v>1.0</v>
      </c>
      <c r="G35" s="120">
        <v>20660.0</v>
      </c>
      <c r="H35" s="107">
        <f t="shared" si="2"/>
        <v>20660</v>
      </c>
      <c r="I35" s="121">
        <v>44863.0</v>
      </c>
    </row>
    <row r="36">
      <c r="E36" s="105" t="s">
        <v>98</v>
      </c>
      <c r="F36" s="120">
        <v>27.0</v>
      </c>
      <c r="G36" s="106">
        <v>1416.0</v>
      </c>
      <c r="H36" s="107">
        <f t="shared" ref="H36:H147" si="3">G36*F36</f>
        <v>38232</v>
      </c>
      <c r="I36" s="108">
        <v>44854.0</v>
      </c>
    </row>
    <row r="37">
      <c r="E37" s="105" t="s">
        <v>99</v>
      </c>
      <c r="F37" s="120">
        <v>3.0</v>
      </c>
      <c r="G37" s="106">
        <v>700.0</v>
      </c>
      <c r="H37" s="107">
        <f t="shared" si="3"/>
        <v>2100</v>
      </c>
      <c r="I37" s="108">
        <v>44850.0</v>
      </c>
    </row>
    <row r="38">
      <c r="E38" s="105" t="s">
        <v>100</v>
      </c>
      <c r="F38" s="120">
        <v>4.0</v>
      </c>
      <c r="G38" s="106">
        <v>300.0</v>
      </c>
      <c r="H38" s="107">
        <f t="shared" si="3"/>
        <v>1200</v>
      </c>
      <c r="I38" s="108">
        <v>44849.0</v>
      </c>
    </row>
    <row r="39">
      <c r="E39" s="105" t="s">
        <v>101</v>
      </c>
      <c r="F39" s="106">
        <v>10.0</v>
      </c>
      <c r="G39" s="106">
        <v>750.0</v>
      </c>
      <c r="H39" s="107">
        <f t="shared" si="3"/>
        <v>7500</v>
      </c>
      <c r="I39" s="108">
        <v>44849.0</v>
      </c>
    </row>
    <row r="40">
      <c r="E40" s="109" t="s">
        <v>102</v>
      </c>
      <c r="F40" s="111">
        <v>3.0</v>
      </c>
      <c r="G40" s="111">
        <v>1200.0</v>
      </c>
      <c r="H40" s="112">
        <f t="shared" si="3"/>
        <v>3600</v>
      </c>
      <c r="I40" s="113">
        <v>44849.0</v>
      </c>
    </row>
    <row r="41">
      <c r="E41" s="105" t="s">
        <v>103</v>
      </c>
      <c r="F41" s="106">
        <v>2.0</v>
      </c>
      <c r="G41" s="106">
        <v>1450.0</v>
      </c>
      <c r="H41" s="107">
        <f t="shared" si="3"/>
        <v>2900</v>
      </c>
      <c r="I41" s="108">
        <v>44849.0</v>
      </c>
    </row>
    <row r="42">
      <c r="E42" s="105" t="s">
        <v>104</v>
      </c>
      <c r="F42" s="106">
        <v>2.0</v>
      </c>
      <c r="G42" s="106">
        <v>1650.0</v>
      </c>
      <c r="H42" s="107">
        <f t="shared" si="3"/>
        <v>3300</v>
      </c>
      <c r="I42" s="108">
        <v>44849.0</v>
      </c>
    </row>
    <row r="43">
      <c r="E43" s="109" t="s">
        <v>105</v>
      </c>
      <c r="F43" s="111">
        <v>1.0</v>
      </c>
      <c r="G43" s="111">
        <v>2000.0</v>
      </c>
      <c r="H43" s="112">
        <f t="shared" si="3"/>
        <v>2000</v>
      </c>
      <c r="I43" s="113">
        <v>44849.0</v>
      </c>
    </row>
    <row r="44">
      <c r="E44" s="122" t="s">
        <v>106</v>
      </c>
      <c r="F44" s="123">
        <v>0.0</v>
      </c>
      <c r="G44" s="124">
        <v>600.0</v>
      </c>
      <c r="H44" s="125">
        <f t="shared" si="3"/>
        <v>0</v>
      </c>
      <c r="I44" s="126">
        <v>44847.0</v>
      </c>
    </row>
    <row r="45">
      <c r="E45" s="105" t="s">
        <v>107</v>
      </c>
      <c r="F45" s="120">
        <v>6.0</v>
      </c>
      <c r="G45" s="106">
        <v>540.0</v>
      </c>
      <c r="H45" s="107">
        <f t="shared" si="3"/>
        <v>3240</v>
      </c>
      <c r="I45" s="108">
        <v>44845.0</v>
      </c>
    </row>
    <row r="46">
      <c r="E46" s="105" t="s">
        <v>108</v>
      </c>
      <c r="F46" s="127">
        <v>7.0</v>
      </c>
      <c r="G46" s="106">
        <v>240.0</v>
      </c>
      <c r="H46" s="107">
        <f t="shared" si="3"/>
        <v>1680</v>
      </c>
      <c r="I46" s="128">
        <v>44805.0</v>
      </c>
    </row>
    <row r="47">
      <c r="E47" s="109" t="s">
        <v>109</v>
      </c>
      <c r="F47" s="129">
        <v>4.0</v>
      </c>
      <c r="G47" s="111">
        <v>260.0</v>
      </c>
      <c r="H47" s="112">
        <f t="shared" si="3"/>
        <v>1040</v>
      </c>
      <c r="I47" s="130">
        <v>44805.0</v>
      </c>
    </row>
    <row r="48">
      <c r="E48" s="105" t="s">
        <v>110</v>
      </c>
      <c r="F48" s="120">
        <v>12.0</v>
      </c>
      <c r="G48" s="106">
        <v>225.0</v>
      </c>
      <c r="H48" s="107">
        <f t="shared" si="3"/>
        <v>2700</v>
      </c>
      <c r="I48" s="108">
        <v>44845.0</v>
      </c>
    </row>
    <row r="49">
      <c r="E49" s="105" t="s">
        <v>111</v>
      </c>
      <c r="F49" s="120">
        <v>8.0</v>
      </c>
      <c r="G49" s="106">
        <v>350.0</v>
      </c>
      <c r="H49" s="107">
        <f t="shared" si="3"/>
        <v>2800</v>
      </c>
      <c r="I49" s="128">
        <v>44843.0</v>
      </c>
    </row>
    <row r="50">
      <c r="E50" s="105" t="s">
        <v>112</v>
      </c>
      <c r="F50" s="106">
        <v>3.0</v>
      </c>
      <c r="G50" s="106">
        <v>350.0</v>
      </c>
      <c r="H50" s="107">
        <f t="shared" si="3"/>
        <v>1050</v>
      </c>
      <c r="I50" s="128">
        <v>44840.0</v>
      </c>
    </row>
    <row r="51">
      <c r="E51" s="109" t="s">
        <v>113</v>
      </c>
      <c r="F51" s="111">
        <v>1.0</v>
      </c>
      <c r="G51" s="111">
        <v>270.0</v>
      </c>
      <c r="H51" s="112">
        <f t="shared" si="3"/>
        <v>270</v>
      </c>
      <c r="I51" s="130">
        <v>44840.0</v>
      </c>
    </row>
    <row r="52">
      <c r="E52" s="109" t="s">
        <v>104</v>
      </c>
      <c r="F52" s="111">
        <v>2.0</v>
      </c>
      <c r="G52" s="111">
        <v>280.0</v>
      </c>
      <c r="H52" s="112">
        <f t="shared" si="3"/>
        <v>560</v>
      </c>
      <c r="I52" s="130">
        <v>44840.0</v>
      </c>
    </row>
    <row r="53">
      <c r="E53" s="105" t="s">
        <v>114</v>
      </c>
      <c r="F53" s="106">
        <v>20.0</v>
      </c>
      <c r="G53" s="106">
        <v>250.0</v>
      </c>
      <c r="H53" s="107">
        <f t="shared" si="3"/>
        <v>5000</v>
      </c>
      <c r="I53" s="128">
        <v>44818.0</v>
      </c>
    </row>
    <row r="54">
      <c r="E54" s="109" t="s">
        <v>115</v>
      </c>
      <c r="F54" s="111">
        <v>2.0</v>
      </c>
      <c r="G54" s="111">
        <v>1400.0</v>
      </c>
      <c r="H54" s="112">
        <f t="shared" si="3"/>
        <v>2800</v>
      </c>
      <c r="I54" s="130">
        <v>44818.0</v>
      </c>
    </row>
    <row r="55">
      <c r="E55" s="109" t="s">
        <v>116</v>
      </c>
      <c r="F55" s="111">
        <v>1.0</v>
      </c>
      <c r="G55" s="111">
        <v>1750.0</v>
      </c>
      <c r="H55" s="112">
        <f t="shared" si="3"/>
        <v>1750</v>
      </c>
      <c r="I55" s="130">
        <v>44818.0</v>
      </c>
    </row>
    <row r="56">
      <c r="E56" s="109" t="s">
        <v>117</v>
      </c>
      <c r="F56" s="111">
        <v>1.0</v>
      </c>
      <c r="G56" s="111">
        <v>800.0</v>
      </c>
      <c r="H56" s="112">
        <f t="shared" si="3"/>
        <v>800</v>
      </c>
      <c r="I56" s="130">
        <v>44820.0</v>
      </c>
    </row>
    <row r="57">
      <c r="E57" s="109" t="s">
        <v>118</v>
      </c>
      <c r="F57" s="111">
        <v>50.0</v>
      </c>
      <c r="G57" s="111">
        <v>100.0</v>
      </c>
      <c r="H57" s="112">
        <f t="shared" si="3"/>
        <v>5000</v>
      </c>
      <c r="I57" s="130">
        <v>44820.0</v>
      </c>
    </row>
    <row r="58">
      <c r="E58" s="109" t="s">
        <v>119</v>
      </c>
      <c r="F58" s="111">
        <v>1.0</v>
      </c>
      <c r="G58" s="111">
        <v>2750.0</v>
      </c>
      <c r="H58" s="112">
        <f t="shared" si="3"/>
        <v>2750</v>
      </c>
      <c r="I58" s="130">
        <v>44820.0</v>
      </c>
    </row>
    <row r="59">
      <c r="E59" s="105" t="s">
        <v>120</v>
      </c>
      <c r="F59" s="120">
        <v>3.0</v>
      </c>
      <c r="G59" s="106">
        <v>285.0</v>
      </c>
      <c r="H59" s="107">
        <f t="shared" si="3"/>
        <v>855</v>
      </c>
      <c r="I59" s="128">
        <v>44809.0</v>
      </c>
    </row>
    <row r="60">
      <c r="E60" s="105" t="s">
        <v>121</v>
      </c>
      <c r="F60" s="120">
        <v>5.0</v>
      </c>
      <c r="G60" s="106">
        <v>2988.0</v>
      </c>
      <c r="H60" s="107">
        <f t="shared" si="3"/>
        <v>14940</v>
      </c>
      <c r="I60" s="128">
        <v>44805.0</v>
      </c>
    </row>
    <row r="61">
      <c r="E61" s="109" t="s">
        <v>122</v>
      </c>
      <c r="F61" s="110">
        <v>2.0</v>
      </c>
      <c r="G61" s="111">
        <v>3112.0</v>
      </c>
      <c r="H61" s="112">
        <f t="shared" si="3"/>
        <v>6224</v>
      </c>
      <c r="I61" s="130">
        <v>44805.0</v>
      </c>
    </row>
    <row r="62">
      <c r="E62" s="109" t="s">
        <v>123</v>
      </c>
      <c r="F62" s="110">
        <v>5.5</v>
      </c>
      <c r="G62" s="111">
        <v>3440.0</v>
      </c>
      <c r="H62" s="112">
        <f t="shared" si="3"/>
        <v>18920</v>
      </c>
      <c r="I62" s="130">
        <v>44805.0</v>
      </c>
    </row>
    <row r="63">
      <c r="E63" s="109" t="s">
        <v>124</v>
      </c>
      <c r="F63" s="110">
        <v>5.0</v>
      </c>
      <c r="G63" s="111">
        <v>350.0</v>
      </c>
      <c r="H63" s="112">
        <f t="shared" si="3"/>
        <v>1750</v>
      </c>
      <c r="I63" s="130">
        <v>44805.0</v>
      </c>
    </row>
    <row r="64">
      <c r="E64" s="109" t="s">
        <v>125</v>
      </c>
      <c r="F64" s="111">
        <v>1.0</v>
      </c>
      <c r="G64" s="111">
        <v>900.0</v>
      </c>
      <c r="H64" s="112">
        <f t="shared" si="3"/>
        <v>900</v>
      </c>
      <c r="I64" s="130">
        <v>44830.0</v>
      </c>
    </row>
    <row r="65">
      <c r="E65" s="131" t="s">
        <v>126</v>
      </c>
      <c r="F65" s="132">
        <v>10.0</v>
      </c>
      <c r="G65" s="133">
        <v>385.0</v>
      </c>
      <c r="H65" s="134">
        <f t="shared" si="3"/>
        <v>3850</v>
      </c>
      <c r="I65" s="135">
        <v>44821.0</v>
      </c>
    </row>
    <row r="66">
      <c r="E66" s="105" t="s">
        <v>127</v>
      </c>
      <c r="F66" s="106">
        <v>1.0</v>
      </c>
      <c r="G66" s="106">
        <v>800.0</v>
      </c>
      <c r="H66" s="107">
        <f t="shared" si="3"/>
        <v>800</v>
      </c>
      <c r="I66" s="128">
        <v>44832.0</v>
      </c>
    </row>
    <row r="67">
      <c r="E67" s="106" t="s">
        <v>128</v>
      </c>
      <c r="F67" s="106">
        <v>4.0</v>
      </c>
      <c r="G67" s="106">
        <v>670.0</v>
      </c>
      <c r="H67" s="107">
        <f t="shared" si="3"/>
        <v>2680</v>
      </c>
      <c r="I67" s="128">
        <v>44805.0</v>
      </c>
    </row>
    <row r="68">
      <c r="E68" s="105" t="s">
        <v>129</v>
      </c>
      <c r="F68" s="120">
        <v>2.0</v>
      </c>
      <c r="G68" s="106">
        <v>560.0</v>
      </c>
      <c r="H68" s="107">
        <f t="shared" si="3"/>
        <v>1120</v>
      </c>
      <c r="I68" s="128">
        <v>44830.0</v>
      </c>
    </row>
    <row r="69">
      <c r="E69" s="105" t="s">
        <v>130</v>
      </c>
      <c r="F69" s="120">
        <v>2.0</v>
      </c>
      <c r="G69" s="106">
        <v>200.0</v>
      </c>
      <c r="H69" s="107">
        <f t="shared" si="3"/>
        <v>400</v>
      </c>
      <c r="I69" s="128">
        <v>44807.0</v>
      </c>
    </row>
    <row r="70">
      <c r="E70" s="136" t="s">
        <v>131</v>
      </c>
      <c r="F70" s="137">
        <v>3.0</v>
      </c>
      <c r="G70" s="137">
        <v>120.0</v>
      </c>
      <c r="H70" s="107">
        <f t="shared" si="3"/>
        <v>360</v>
      </c>
      <c r="I70" s="138">
        <v>44866.0</v>
      </c>
    </row>
    <row r="71">
      <c r="E71" s="136" t="s">
        <v>131</v>
      </c>
      <c r="F71" s="137">
        <v>3.0</v>
      </c>
      <c r="G71" s="137">
        <v>120.0</v>
      </c>
      <c r="H71" s="107">
        <f t="shared" si="3"/>
        <v>360</v>
      </c>
      <c r="I71" s="138">
        <v>44867.0</v>
      </c>
    </row>
    <row r="72">
      <c r="E72" s="136" t="s">
        <v>132</v>
      </c>
      <c r="F72" s="137">
        <v>7.0</v>
      </c>
      <c r="G72" s="137">
        <v>140.0</v>
      </c>
      <c r="H72" s="107">
        <f t="shared" si="3"/>
        <v>980</v>
      </c>
      <c r="I72" s="138">
        <v>44867.0</v>
      </c>
    </row>
    <row r="73">
      <c r="E73" s="136" t="s">
        <v>133</v>
      </c>
      <c r="F73" s="137">
        <v>30.0</v>
      </c>
      <c r="G73" s="137">
        <v>70.0</v>
      </c>
      <c r="H73" s="107">
        <f t="shared" si="3"/>
        <v>2100</v>
      </c>
      <c r="I73" s="138">
        <v>44867.0</v>
      </c>
    </row>
    <row r="74">
      <c r="E74" s="136" t="s">
        <v>134</v>
      </c>
      <c r="F74" s="137">
        <v>2.0</v>
      </c>
      <c r="G74" s="137">
        <v>100.0</v>
      </c>
      <c r="H74" s="107">
        <f t="shared" si="3"/>
        <v>200</v>
      </c>
      <c r="I74" s="138">
        <v>44867.0</v>
      </c>
    </row>
    <row r="75">
      <c r="E75" s="136" t="s">
        <v>135</v>
      </c>
      <c r="F75" s="137">
        <v>2.0</v>
      </c>
      <c r="G75" s="137">
        <v>100.0</v>
      </c>
      <c r="H75" s="107">
        <f t="shared" si="3"/>
        <v>200</v>
      </c>
      <c r="I75" s="138">
        <v>44867.0</v>
      </c>
    </row>
    <row r="76">
      <c r="E76" s="136" t="s">
        <v>136</v>
      </c>
      <c r="F76" s="137">
        <v>2.0</v>
      </c>
      <c r="G76" s="137">
        <v>50.0</v>
      </c>
      <c r="H76" s="107">
        <f t="shared" si="3"/>
        <v>100</v>
      </c>
      <c r="I76" s="138">
        <v>44867.0</v>
      </c>
    </row>
    <row r="77">
      <c r="E77" s="136" t="s">
        <v>137</v>
      </c>
      <c r="F77" s="137">
        <v>2.0</v>
      </c>
      <c r="G77" s="137">
        <v>600.0</v>
      </c>
      <c r="H77" s="107">
        <f t="shared" si="3"/>
        <v>1200</v>
      </c>
      <c r="I77" s="138">
        <v>44867.0</v>
      </c>
    </row>
    <row r="78">
      <c r="E78" s="136" t="s">
        <v>138</v>
      </c>
      <c r="F78" s="137">
        <v>3.0</v>
      </c>
      <c r="G78" s="137">
        <v>170.0</v>
      </c>
      <c r="H78" s="107">
        <f t="shared" si="3"/>
        <v>510</v>
      </c>
      <c r="I78" s="138">
        <v>44867.0</v>
      </c>
    </row>
    <row r="79">
      <c r="E79" s="136" t="s">
        <v>139</v>
      </c>
      <c r="F79" s="137">
        <v>10.0</v>
      </c>
      <c r="G79" s="137">
        <v>50.0</v>
      </c>
      <c r="H79" s="107">
        <f t="shared" si="3"/>
        <v>500</v>
      </c>
      <c r="I79" s="138">
        <v>44867.0</v>
      </c>
    </row>
    <row r="80">
      <c r="E80" s="136" t="s">
        <v>140</v>
      </c>
      <c r="F80" s="137">
        <v>1.0</v>
      </c>
      <c r="G80" s="137">
        <v>100.0</v>
      </c>
      <c r="H80" s="107">
        <f t="shared" si="3"/>
        <v>100</v>
      </c>
      <c r="I80" s="138">
        <v>44867.0</v>
      </c>
    </row>
    <row r="81">
      <c r="E81" s="136" t="s">
        <v>141</v>
      </c>
      <c r="F81" s="137">
        <v>1.0</v>
      </c>
      <c r="G81" s="137">
        <v>700.0</v>
      </c>
      <c r="H81" s="107">
        <f t="shared" si="3"/>
        <v>700</v>
      </c>
      <c r="I81" s="138">
        <v>44867.0</v>
      </c>
    </row>
    <row r="82">
      <c r="E82" s="136" t="s">
        <v>142</v>
      </c>
      <c r="F82" s="137">
        <v>1.0</v>
      </c>
      <c r="G82" s="137">
        <v>700.0</v>
      </c>
      <c r="H82" s="107">
        <f t="shared" si="3"/>
        <v>700</v>
      </c>
      <c r="I82" s="138">
        <v>44868.0</v>
      </c>
    </row>
    <row r="83">
      <c r="E83" s="136" t="s">
        <v>143</v>
      </c>
      <c r="F83" s="137">
        <v>10.0</v>
      </c>
      <c r="G83" s="137">
        <v>140.0</v>
      </c>
      <c r="H83" s="107">
        <f t="shared" si="3"/>
        <v>1400</v>
      </c>
      <c r="I83" s="138">
        <v>44868.0</v>
      </c>
    </row>
    <row r="84">
      <c r="E84" s="136" t="s">
        <v>137</v>
      </c>
      <c r="F84" s="137">
        <v>1.0</v>
      </c>
      <c r="G84" s="137">
        <v>400.0</v>
      </c>
      <c r="H84" s="107">
        <f t="shared" si="3"/>
        <v>400</v>
      </c>
      <c r="I84" s="138">
        <v>44868.0</v>
      </c>
    </row>
    <row r="85">
      <c r="E85" s="136" t="s">
        <v>131</v>
      </c>
      <c r="F85" s="137">
        <v>20.0</v>
      </c>
      <c r="G85" s="137">
        <v>120.0</v>
      </c>
      <c r="H85" s="107">
        <f t="shared" si="3"/>
        <v>2400</v>
      </c>
      <c r="I85" s="138">
        <v>44868.0</v>
      </c>
    </row>
    <row r="86">
      <c r="E86" s="136" t="s">
        <v>65</v>
      </c>
      <c r="F86" s="137">
        <v>2.0</v>
      </c>
      <c r="G86" s="137">
        <v>550.0</v>
      </c>
      <c r="H86" s="107">
        <f t="shared" si="3"/>
        <v>1100</v>
      </c>
      <c r="I86" s="138">
        <v>44868.0</v>
      </c>
    </row>
    <row r="87">
      <c r="E87" s="136" t="s">
        <v>144</v>
      </c>
      <c r="F87" s="137">
        <v>3.0</v>
      </c>
      <c r="G87" s="137">
        <v>2300.0</v>
      </c>
      <c r="H87" s="107">
        <f t="shared" si="3"/>
        <v>6900</v>
      </c>
      <c r="I87" s="138">
        <v>44868.0</v>
      </c>
    </row>
    <row r="88">
      <c r="E88" s="136" t="s">
        <v>145</v>
      </c>
      <c r="F88" s="137">
        <v>3.0</v>
      </c>
      <c r="G88" s="137">
        <v>1750.0</v>
      </c>
      <c r="H88" s="107">
        <f t="shared" si="3"/>
        <v>5250</v>
      </c>
      <c r="I88" s="138">
        <v>44868.0</v>
      </c>
    </row>
    <row r="89">
      <c r="E89" s="136" t="s">
        <v>146</v>
      </c>
      <c r="F89" s="137">
        <v>2.0</v>
      </c>
      <c r="G89" s="137">
        <v>1400.0</v>
      </c>
      <c r="H89" s="107">
        <f t="shared" si="3"/>
        <v>2800</v>
      </c>
      <c r="I89" s="138">
        <v>44868.0</v>
      </c>
    </row>
    <row r="90">
      <c r="E90" s="136" t="s">
        <v>147</v>
      </c>
      <c r="F90" s="137">
        <v>12.0</v>
      </c>
      <c r="G90" s="137">
        <v>58.0</v>
      </c>
      <c r="H90" s="107">
        <f t="shared" si="3"/>
        <v>696</v>
      </c>
      <c r="I90" s="138">
        <v>44868.0</v>
      </c>
    </row>
    <row r="91">
      <c r="E91" s="136" t="s">
        <v>148</v>
      </c>
      <c r="F91" s="137">
        <v>100.0</v>
      </c>
      <c r="G91" s="137">
        <v>46.5</v>
      </c>
      <c r="H91" s="107">
        <f t="shared" si="3"/>
        <v>4650</v>
      </c>
      <c r="I91" s="138">
        <v>44868.0</v>
      </c>
    </row>
    <row r="92">
      <c r="E92" s="136" t="s">
        <v>102</v>
      </c>
      <c r="F92" s="137">
        <v>2.0</v>
      </c>
      <c r="G92" s="137">
        <v>2000.0</v>
      </c>
      <c r="H92" s="107">
        <f t="shared" si="3"/>
        <v>4000</v>
      </c>
      <c r="I92" s="138">
        <v>44868.0</v>
      </c>
    </row>
    <row r="93">
      <c r="E93" s="136" t="s">
        <v>149</v>
      </c>
      <c r="F93" s="137">
        <v>10.0</v>
      </c>
      <c r="G93" s="137">
        <v>50.0</v>
      </c>
      <c r="H93" s="107">
        <f t="shared" si="3"/>
        <v>500</v>
      </c>
      <c r="I93" s="138">
        <v>44868.0</v>
      </c>
    </row>
    <row r="94">
      <c r="E94" s="136" t="s">
        <v>150</v>
      </c>
      <c r="F94" s="137">
        <v>10.0</v>
      </c>
      <c r="G94" s="137">
        <v>300.0</v>
      </c>
      <c r="H94" s="107">
        <f t="shared" si="3"/>
        <v>3000</v>
      </c>
      <c r="I94" s="138">
        <v>44868.0</v>
      </c>
    </row>
    <row r="95">
      <c r="E95" s="136" t="s">
        <v>151</v>
      </c>
      <c r="F95" s="137">
        <v>2.0</v>
      </c>
      <c r="G95" s="137">
        <v>300.0</v>
      </c>
      <c r="H95" s="107">
        <f t="shared" si="3"/>
        <v>600</v>
      </c>
      <c r="I95" s="138">
        <v>44868.0</v>
      </c>
    </row>
    <row r="96">
      <c r="E96" s="136" t="s">
        <v>83</v>
      </c>
      <c r="F96" s="137">
        <v>5.0</v>
      </c>
      <c r="G96" s="137">
        <v>200.0</v>
      </c>
      <c r="H96" s="107">
        <f t="shared" si="3"/>
        <v>1000</v>
      </c>
      <c r="I96" s="138">
        <v>44868.0</v>
      </c>
    </row>
    <row r="97">
      <c r="E97" s="136" t="s">
        <v>152</v>
      </c>
      <c r="F97" s="137">
        <v>1.0</v>
      </c>
      <c r="G97" s="137">
        <v>600.0</v>
      </c>
      <c r="H97" s="107">
        <f t="shared" si="3"/>
        <v>600</v>
      </c>
      <c r="I97" s="138">
        <v>44868.0</v>
      </c>
    </row>
    <row r="98">
      <c r="E98" s="136" t="s">
        <v>153</v>
      </c>
      <c r="F98" s="137">
        <v>1.0</v>
      </c>
      <c r="G98" s="137">
        <v>1000.0</v>
      </c>
      <c r="H98" s="107">
        <f t="shared" si="3"/>
        <v>1000</v>
      </c>
      <c r="I98" s="137" t="s">
        <v>154</v>
      </c>
    </row>
    <row r="99">
      <c r="E99" s="136" t="s">
        <v>143</v>
      </c>
      <c r="F99" s="137">
        <v>10.0</v>
      </c>
      <c r="G99" s="137">
        <v>140.0</v>
      </c>
      <c r="H99" s="107">
        <f t="shared" si="3"/>
        <v>1400</v>
      </c>
      <c r="I99" s="138">
        <v>44868.0</v>
      </c>
    </row>
    <row r="100">
      <c r="E100" s="136" t="s">
        <v>131</v>
      </c>
      <c r="F100" s="137">
        <v>15.0</v>
      </c>
      <c r="G100" s="137">
        <v>100.0</v>
      </c>
      <c r="H100" s="107">
        <f t="shared" si="3"/>
        <v>1500</v>
      </c>
      <c r="I100" s="138">
        <v>44868.0</v>
      </c>
    </row>
    <row r="101">
      <c r="E101" s="136" t="s">
        <v>155</v>
      </c>
      <c r="F101" s="137">
        <v>1.0</v>
      </c>
      <c r="G101" s="137">
        <v>1080.0</v>
      </c>
      <c r="H101" s="107">
        <f t="shared" si="3"/>
        <v>1080</v>
      </c>
      <c r="I101" s="138">
        <v>37563.0</v>
      </c>
    </row>
    <row r="102">
      <c r="E102" s="136" t="s">
        <v>133</v>
      </c>
      <c r="F102" s="137">
        <v>20.0</v>
      </c>
      <c r="G102" s="137">
        <v>65.0</v>
      </c>
      <c r="H102" s="107">
        <f t="shared" si="3"/>
        <v>1300</v>
      </c>
      <c r="I102" s="138">
        <v>44868.0</v>
      </c>
    </row>
    <row r="103">
      <c r="E103" s="136" t="s">
        <v>137</v>
      </c>
      <c r="F103" s="137">
        <v>1.0</v>
      </c>
      <c r="G103" s="137">
        <v>400.0</v>
      </c>
      <c r="H103" s="107">
        <f t="shared" si="3"/>
        <v>400</v>
      </c>
      <c r="I103" s="138">
        <v>44868.0</v>
      </c>
    </row>
    <row r="104">
      <c r="E104" s="136" t="s">
        <v>156</v>
      </c>
      <c r="F104" s="137">
        <v>1.0</v>
      </c>
      <c r="G104" s="137">
        <v>500.0</v>
      </c>
      <c r="H104" s="107">
        <f t="shared" si="3"/>
        <v>500</v>
      </c>
      <c r="I104" s="138">
        <v>44868.0</v>
      </c>
    </row>
    <row r="105">
      <c r="E105" s="136" t="s">
        <v>157</v>
      </c>
      <c r="F105" s="137">
        <v>2.0</v>
      </c>
      <c r="G105" s="137">
        <v>150.0</v>
      </c>
      <c r="H105" s="107">
        <f t="shared" si="3"/>
        <v>300</v>
      </c>
      <c r="I105" s="138">
        <v>44868.0</v>
      </c>
    </row>
    <row r="106">
      <c r="E106" s="136" t="s">
        <v>158</v>
      </c>
      <c r="F106" s="137">
        <v>1.0</v>
      </c>
      <c r="G106" s="137">
        <v>1000.0</v>
      </c>
      <c r="H106" s="107">
        <f t="shared" si="3"/>
        <v>1000</v>
      </c>
      <c r="I106" s="138">
        <v>44868.0</v>
      </c>
    </row>
    <row r="107">
      <c r="E107" s="136" t="s">
        <v>159</v>
      </c>
      <c r="F107" s="137">
        <v>2.0</v>
      </c>
      <c r="G107" s="137">
        <v>600.0</v>
      </c>
      <c r="H107" s="107">
        <f t="shared" si="3"/>
        <v>1200</v>
      </c>
      <c r="I107" s="138">
        <v>44869.0</v>
      </c>
    </row>
    <row r="108">
      <c r="E108" s="136" t="s">
        <v>131</v>
      </c>
      <c r="F108" s="137">
        <v>5.0</v>
      </c>
      <c r="G108" s="137">
        <v>100.0</v>
      </c>
      <c r="H108" s="107">
        <f t="shared" si="3"/>
        <v>500</v>
      </c>
      <c r="I108" s="138">
        <v>44869.0</v>
      </c>
    </row>
    <row r="109">
      <c r="E109" s="136" t="s">
        <v>160</v>
      </c>
      <c r="F109" s="137">
        <v>6.0</v>
      </c>
      <c r="G109" s="137">
        <v>100.0</v>
      </c>
      <c r="H109" s="107">
        <f t="shared" si="3"/>
        <v>600</v>
      </c>
      <c r="I109" s="138">
        <v>44869.0</v>
      </c>
    </row>
    <row r="110">
      <c r="E110" s="136" t="s">
        <v>161</v>
      </c>
      <c r="F110" s="137">
        <v>1.0</v>
      </c>
      <c r="G110" s="137">
        <v>100.0</v>
      </c>
      <c r="H110" s="107">
        <f t="shared" si="3"/>
        <v>100</v>
      </c>
      <c r="I110" s="138">
        <v>44869.0</v>
      </c>
    </row>
    <row r="111">
      <c r="E111" s="136" t="s">
        <v>162</v>
      </c>
      <c r="F111" s="137">
        <v>1.0</v>
      </c>
      <c r="G111" s="137">
        <v>100.0</v>
      </c>
      <c r="H111" s="107">
        <f t="shared" si="3"/>
        <v>100</v>
      </c>
      <c r="I111" s="138">
        <v>44869.0</v>
      </c>
    </row>
    <row r="112">
      <c r="E112" s="136" t="s">
        <v>163</v>
      </c>
      <c r="F112" s="137">
        <v>2.0</v>
      </c>
      <c r="G112" s="137">
        <v>100.0</v>
      </c>
      <c r="H112" s="107">
        <f t="shared" si="3"/>
        <v>200</v>
      </c>
      <c r="I112" s="138">
        <v>44869.0</v>
      </c>
    </row>
    <row r="113">
      <c r="E113" s="136" t="s">
        <v>164</v>
      </c>
      <c r="F113" s="137">
        <v>2.0</v>
      </c>
      <c r="G113" s="137">
        <v>150.0</v>
      </c>
      <c r="H113" s="107">
        <f t="shared" si="3"/>
        <v>300</v>
      </c>
      <c r="I113" s="138">
        <v>44869.0</v>
      </c>
    </row>
    <row r="114">
      <c r="E114" s="136" t="s">
        <v>165</v>
      </c>
      <c r="F114" s="137">
        <v>1.0</v>
      </c>
      <c r="G114" s="137">
        <v>1000.0</v>
      </c>
      <c r="H114" s="107">
        <f t="shared" si="3"/>
        <v>1000</v>
      </c>
      <c r="I114" s="138">
        <v>44869.0</v>
      </c>
    </row>
    <row r="115">
      <c r="E115" s="136" t="s">
        <v>166</v>
      </c>
      <c r="F115" s="137">
        <v>600.0</v>
      </c>
      <c r="G115" s="137">
        <v>50.0</v>
      </c>
      <c r="H115" s="107">
        <f t="shared" si="3"/>
        <v>30000</v>
      </c>
      <c r="I115" s="138">
        <v>44869.0</v>
      </c>
    </row>
    <row r="116">
      <c r="E116" s="136" t="s">
        <v>131</v>
      </c>
      <c r="F116" s="137">
        <v>3.0</v>
      </c>
      <c r="G116" s="137">
        <v>150.0</v>
      </c>
      <c r="H116" s="107">
        <f t="shared" si="3"/>
        <v>450</v>
      </c>
      <c r="I116" s="137" t="s">
        <v>167</v>
      </c>
    </row>
    <row r="117">
      <c r="E117" s="136" t="s">
        <v>159</v>
      </c>
      <c r="F117" s="137">
        <v>2.0</v>
      </c>
      <c r="G117" s="137">
        <v>650.0</v>
      </c>
      <c r="H117" s="107">
        <f t="shared" si="3"/>
        <v>1300</v>
      </c>
      <c r="I117" s="138">
        <v>44871.0</v>
      </c>
    </row>
    <row r="118">
      <c r="E118" s="136" t="s">
        <v>156</v>
      </c>
      <c r="F118" s="137">
        <v>1.0</v>
      </c>
      <c r="G118" s="137">
        <v>200.0</v>
      </c>
      <c r="H118" s="107">
        <f t="shared" si="3"/>
        <v>200</v>
      </c>
      <c r="I118" s="138">
        <v>44871.0</v>
      </c>
    </row>
    <row r="119">
      <c r="E119" s="136" t="s">
        <v>168</v>
      </c>
      <c r="F119" s="137">
        <v>2.0</v>
      </c>
      <c r="G119" s="137">
        <v>420.0</v>
      </c>
      <c r="H119" s="107">
        <f t="shared" si="3"/>
        <v>840</v>
      </c>
      <c r="I119" s="138">
        <v>44871.0</v>
      </c>
    </row>
    <row r="120">
      <c r="E120" s="136" t="s">
        <v>156</v>
      </c>
      <c r="F120" s="137">
        <v>1.0</v>
      </c>
      <c r="G120" s="137">
        <v>500.0</v>
      </c>
      <c r="H120" s="107">
        <f t="shared" si="3"/>
        <v>500</v>
      </c>
      <c r="I120" s="138">
        <v>44871.0</v>
      </c>
    </row>
    <row r="121">
      <c r="E121" s="136" t="s">
        <v>159</v>
      </c>
      <c r="F121" s="137">
        <v>2.0</v>
      </c>
      <c r="G121" s="137">
        <v>850.0</v>
      </c>
      <c r="H121" s="107">
        <f t="shared" si="3"/>
        <v>1700</v>
      </c>
      <c r="I121" s="138">
        <v>44871.0</v>
      </c>
    </row>
    <row r="122">
      <c r="E122" s="139" t="s">
        <v>169</v>
      </c>
      <c r="F122" s="140">
        <v>27.0</v>
      </c>
      <c r="G122" s="140">
        <v>1000.0</v>
      </c>
      <c r="H122" s="141">
        <f t="shared" si="3"/>
        <v>27000</v>
      </c>
      <c r="I122" s="142">
        <v>44871.0</v>
      </c>
    </row>
    <row r="123">
      <c r="E123" s="136" t="s">
        <v>170</v>
      </c>
      <c r="F123" s="137">
        <v>1.0</v>
      </c>
      <c r="G123" s="137">
        <v>1500.0</v>
      </c>
      <c r="H123" s="107">
        <f t="shared" si="3"/>
        <v>1500</v>
      </c>
      <c r="I123" s="138">
        <v>44871.0</v>
      </c>
    </row>
    <row r="124">
      <c r="E124" s="136" t="s">
        <v>171</v>
      </c>
      <c r="F124" s="137">
        <v>7.0</v>
      </c>
      <c r="G124" s="137">
        <v>500.0</v>
      </c>
      <c r="H124" s="107">
        <f t="shared" si="3"/>
        <v>3500</v>
      </c>
      <c r="I124" s="138">
        <v>44872.0</v>
      </c>
    </row>
    <row r="125">
      <c r="E125" s="136" t="s">
        <v>172</v>
      </c>
      <c r="F125" s="137">
        <v>21.0</v>
      </c>
      <c r="G125" s="137">
        <v>150.0</v>
      </c>
      <c r="H125" s="107">
        <f t="shared" si="3"/>
        <v>3150</v>
      </c>
      <c r="I125" s="138">
        <v>44872.0</v>
      </c>
    </row>
    <row r="126">
      <c r="E126" s="136" t="s">
        <v>173</v>
      </c>
      <c r="F126" s="137">
        <v>5.0</v>
      </c>
      <c r="G126" s="137">
        <v>190.0</v>
      </c>
      <c r="H126" s="107">
        <f t="shared" si="3"/>
        <v>950</v>
      </c>
      <c r="I126" s="138">
        <v>44872.0</v>
      </c>
    </row>
    <row r="127">
      <c r="E127" s="136" t="s">
        <v>174</v>
      </c>
      <c r="F127" s="137">
        <v>5.0</v>
      </c>
      <c r="G127" s="137">
        <v>680.0</v>
      </c>
      <c r="H127" s="107">
        <f t="shared" si="3"/>
        <v>3400</v>
      </c>
      <c r="I127" s="138">
        <v>44872.0</v>
      </c>
    </row>
    <row r="128">
      <c r="E128" s="136" t="s">
        <v>92</v>
      </c>
      <c r="F128" s="137">
        <v>7.0</v>
      </c>
      <c r="G128" s="137">
        <v>200.0</v>
      </c>
      <c r="H128" s="107">
        <f t="shared" si="3"/>
        <v>1400</v>
      </c>
      <c r="I128" s="138">
        <v>44872.0</v>
      </c>
    </row>
    <row r="129">
      <c r="E129" s="136" t="s">
        <v>175</v>
      </c>
      <c r="F129" s="137">
        <v>1.0</v>
      </c>
      <c r="G129" s="137">
        <v>1000.0</v>
      </c>
      <c r="H129" s="107">
        <f t="shared" si="3"/>
        <v>1000</v>
      </c>
      <c r="I129" s="138">
        <v>44872.0</v>
      </c>
    </row>
    <row r="130">
      <c r="E130" s="136" t="s">
        <v>176</v>
      </c>
      <c r="F130" s="137">
        <v>6.0</v>
      </c>
      <c r="G130" s="137">
        <v>300.0</v>
      </c>
      <c r="H130" s="107">
        <f t="shared" si="3"/>
        <v>1800</v>
      </c>
      <c r="I130" s="138">
        <v>44872.0</v>
      </c>
    </row>
    <row r="131">
      <c r="E131" s="136" t="s">
        <v>177</v>
      </c>
      <c r="F131" s="137">
        <v>3.0</v>
      </c>
      <c r="G131" s="137">
        <v>70.0</v>
      </c>
      <c r="H131" s="107">
        <f t="shared" si="3"/>
        <v>210</v>
      </c>
      <c r="I131" s="138">
        <v>44872.0</v>
      </c>
    </row>
    <row r="132">
      <c r="E132" s="136" t="s">
        <v>133</v>
      </c>
      <c r="F132" s="137">
        <v>20.0</v>
      </c>
      <c r="G132" s="137">
        <v>70.0</v>
      </c>
      <c r="H132" s="107">
        <f t="shared" si="3"/>
        <v>1400</v>
      </c>
      <c r="I132" s="138">
        <v>44872.0</v>
      </c>
    </row>
    <row r="133">
      <c r="E133" s="136" t="s">
        <v>131</v>
      </c>
      <c r="F133" s="137">
        <v>5.0</v>
      </c>
      <c r="G133" s="137">
        <v>100.0</v>
      </c>
      <c r="H133" s="107">
        <f t="shared" si="3"/>
        <v>500</v>
      </c>
      <c r="I133" s="138">
        <v>44872.0</v>
      </c>
    </row>
    <row r="134">
      <c r="E134" s="136" t="s">
        <v>137</v>
      </c>
      <c r="F134" s="137">
        <v>1.0</v>
      </c>
      <c r="G134" s="137">
        <v>500.0</v>
      </c>
      <c r="H134" s="107">
        <f t="shared" si="3"/>
        <v>500</v>
      </c>
      <c r="I134" s="138">
        <v>44873.0</v>
      </c>
    </row>
    <row r="135">
      <c r="E135" s="136" t="s">
        <v>133</v>
      </c>
      <c r="F135" s="137">
        <v>30.0</v>
      </c>
      <c r="G135" s="137">
        <v>70.0</v>
      </c>
      <c r="H135" s="107">
        <f t="shared" si="3"/>
        <v>2100</v>
      </c>
      <c r="I135" s="138">
        <v>44873.0</v>
      </c>
    </row>
    <row r="136">
      <c r="E136" s="136" t="s">
        <v>131</v>
      </c>
      <c r="F136" s="137">
        <v>25.0</v>
      </c>
      <c r="G136" s="137">
        <v>100.0</v>
      </c>
      <c r="H136" s="107">
        <f t="shared" si="3"/>
        <v>2500</v>
      </c>
      <c r="I136" s="138">
        <v>44873.0</v>
      </c>
    </row>
    <row r="137">
      <c r="E137" s="136" t="s">
        <v>178</v>
      </c>
      <c r="F137" s="137">
        <v>3.0</v>
      </c>
      <c r="G137" s="137">
        <v>70.0</v>
      </c>
      <c r="H137" s="107">
        <f t="shared" si="3"/>
        <v>210</v>
      </c>
      <c r="I137" s="138">
        <v>44873.0</v>
      </c>
    </row>
    <row r="138">
      <c r="E138" s="136" t="s">
        <v>179</v>
      </c>
      <c r="F138" s="137">
        <v>5.0</v>
      </c>
      <c r="G138" s="137">
        <v>20.0</v>
      </c>
      <c r="H138" s="107">
        <f t="shared" si="3"/>
        <v>100</v>
      </c>
      <c r="I138" s="138">
        <v>44873.0</v>
      </c>
    </row>
    <row r="139">
      <c r="E139" s="136" t="s">
        <v>180</v>
      </c>
      <c r="F139" s="137">
        <v>1.0</v>
      </c>
      <c r="G139" s="137">
        <v>450.0</v>
      </c>
      <c r="H139" s="107">
        <f t="shared" si="3"/>
        <v>450</v>
      </c>
      <c r="I139" s="138">
        <v>44873.0</v>
      </c>
    </row>
    <row r="140">
      <c r="E140" s="136" t="s">
        <v>181</v>
      </c>
      <c r="F140" s="137">
        <v>2.0</v>
      </c>
      <c r="G140" s="137">
        <v>300.0</v>
      </c>
      <c r="H140" s="107">
        <f t="shared" si="3"/>
        <v>600</v>
      </c>
      <c r="I140" s="138">
        <v>44873.0</v>
      </c>
    </row>
    <row r="141">
      <c r="E141" s="136" t="s">
        <v>159</v>
      </c>
      <c r="F141" s="137">
        <v>1.0</v>
      </c>
      <c r="G141" s="137">
        <v>700.0</v>
      </c>
      <c r="H141" s="107">
        <f t="shared" si="3"/>
        <v>700</v>
      </c>
      <c r="I141" s="138">
        <v>44874.0</v>
      </c>
    </row>
    <row r="142">
      <c r="E142" s="136" t="s">
        <v>182</v>
      </c>
      <c r="F142" s="137">
        <v>1.0</v>
      </c>
      <c r="G142" s="137">
        <v>150.0</v>
      </c>
      <c r="H142" s="107">
        <f t="shared" si="3"/>
        <v>150</v>
      </c>
      <c r="I142" s="138">
        <v>44874.0</v>
      </c>
    </row>
    <row r="143">
      <c r="E143" s="136" t="s">
        <v>140</v>
      </c>
      <c r="F143" s="137">
        <v>1.0</v>
      </c>
      <c r="G143" s="137">
        <v>50.0</v>
      </c>
      <c r="H143" s="107">
        <f t="shared" si="3"/>
        <v>50</v>
      </c>
      <c r="I143" s="138">
        <v>44874.0</v>
      </c>
    </row>
    <row r="144">
      <c r="E144" s="136" t="s">
        <v>137</v>
      </c>
      <c r="F144" s="137">
        <v>2.0</v>
      </c>
      <c r="G144" s="137">
        <v>700.0</v>
      </c>
      <c r="H144" s="107">
        <f t="shared" si="3"/>
        <v>1400</v>
      </c>
      <c r="I144" s="143">
        <v>44875.0</v>
      </c>
    </row>
    <row r="145">
      <c r="E145" s="136" t="s">
        <v>183</v>
      </c>
      <c r="F145" s="137">
        <v>0.0</v>
      </c>
      <c r="G145" s="137">
        <v>1000.0</v>
      </c>
      <c r="H145" s="107">
        <f t="shared" si="3"/>
        <v>0</v>
      </c>
      <c r="I145" s="143">
        <v>44875.0</v>
      </c>
    </row>
    <row r="146">
      <c r="E146" s="136" t="s">
        <v>113</v>
      </c>
      <c r="F146" s="137">
        <v>1.0</v>
      </c>
      <c r="G146" s="137">
        <v>350.0</v>
      </c>
      <c r="H146" s="107">
        <f t="shared" si="3"/>
        <v>350</v>
      </c>
      <c r="I146" s="143">
        <v>44875.0</v>
      </c>
    </row>
    <row r="147">
      <c r="E147" s="136" t="s">
        <v>184</v>
      </c>
      <c r="F147" s="137">
        <v>1.0</v>
      </c>
      <c r="G147" s="137">
        <v>280.0</v>
      </c>
      <c r="H147" s="107">
        <f t="shared" si="3"/>
        <v>280</v>
      </c>
      <c r="I147" s="143">
        <v>44875.0</v>
      </c>
    </row>
    <row r="148">
      <c r="E148" s="139" t="s">
        <v>185</v>
      </c>
      <c r="F148" s="140">
        <v>7.0</v>
      </c>
      <c r="G148" s="140">
        <v>300.0</v>
      </c>
      <c r="H148" s="144">
        <v>2400.0</v>
      </c>
      <c r="I148" s="140" t="s">
        <v>186</v>
      </c>
    </row>
    <row r="149">
      <c r="E149" s="136" t="s">
        <v>142</v>
      </c>
      <c r="F149" s="137">
        <v>4.0</v>
      </c>
      <c r="G149" s="137">
        <v>200.0</v>
      </c>
      <c r="H149" s="107">
        <f t="shared" ref="H149:H256" si="4">G149*F149</f>
        <v>800</v>
      </c>
      <c r="I149" s="143">
        <v>44876.0</v>
      </c>
    </row>
    <row r="150">
      <c r="E150" s="136" t="s">
        <v>187</v>
      </c>
      <c r="F150" s="137">
        <v>20.0</v>
      </c>
      <c r="G150" s="137">
        <v>350.0</v>
      </c>
      <c r="H150" s="107">
        <f t="shared" si="4"/>
        <v>7000</v>
      </c>
      <c r="I150" s="143">
        <v>44876.0</v>
      </c>
    </row>
    <row r="151">
      <c r="E151" s="136" t="s">
        <v>188</v>
      </c>
      <c r="F151" s="137">
        <v>1.0</v>
      </c>
      <c r="G151" s="137">
        <v>400.0</v>
      </c>
      <c r="H151" s="107">
        <f t="shared" si="4"/>
        <v>400</v>
      </c>
      <c r="I151" s="143">
        <v>44876.0</v>
      </c>
    </row>
    <row r="152">
      <c r="E152" s="136" t="s">
        <v>189</v>
      </c>
      <c r="F152" s="137">
        <v>2.0</v>
      </c>
      <c r="G152" s="137">
        <v>100.0</v>
      </c>
      <c r="H152" s="107">
        <f t="shared" si="4"/>
        <v>200</v>
      </c>
      <c r="I152" s="143">
        <v>44876.0</v>
      </c>
    </row>
    <row r="153">
      <c r="E153" s="136" t="s">
        <v>137</v>
      </c>
      <c r="F153" s="137">
        <v>1.0</v>
      </c>
      <c r="G153" s="137">
        <v>500.0</v>
      </c>
      <c r="H153" s="107">
        <f t="shared" si="4"/>
        <v>500</v>
      </c>
      <c r="I153" s="143">
        <v>44876.0</v>
      </c>
    </row>
    <row r="154">
      <c r="E154" s="136" t="s">
        <v>156</v>
      </c>
      <c r="F154" s="137">
        <v>1.0</v>
      </c>
      <c r="G154" s="137">
        <v>1000.0</v>
      </c>
      <c r="H154" s="107">
        <f t="shared" si="4"/>
        <v>1000</v>
      </c>
      <c r="I154" s="143">
        <v>44876.0</v>
      </c>
    </row>
    <row r="155">
      <c r="E155" s="136" t="s">
        <v>131</v>
      </c>
      <c r="F155" s="137">
        <v>17.0</v>
      </c>
      <c r="G155" s="137">
        <v>100.0</v>
      </c>
      <c r="H155" s="107">
        <f t="shared" si="4"/>
        <v>1700</v>
      </c>
      <c r="I155" s="143">
        <v>44876.0</v>
      </c>
    </row>
    <row r="156">
      <c r="D156" s="145">
        <v>12.0</v>
      </c>
      <c r="E156" s="139" t="s">
        <v>107</v>
      </c>
      <c r="F156" s="140">
        <v>4.0</v>
      </c>
      <c r="G156" s="140">
        <v>530.0</v>
      </c>
      <c r="H156" s="141">
        <f t="shared" si="4"/>
        <v>2120</v>
      </c>
      <c r="I156" s="146">
        <v>44876.0</v>
      </c>
    </row>
    <row r="157">
      <c r="D157" s="145">
        <v>10.0</v>
      </c>
      <c r="E157" s="136" t="s">
        <v>190</v>
      </c>
      <c r="F157" s="137">
        <v>10.0</v>
      </c>
      <c r="G157" s="137">
        <v>1570.0</v>
      </c>
      <c r="H157" s="107">
        <f t="shared" si="4"/>
        <v>15700</v>
      </c>
      <c r="I157" s="143">
        <v>44876.0</v>
      </c>
    </row>
    <row r="158">
      <c r="D158" s="145">
        <v>2.0</v>
      </c>
      <c r="E158" s="136" t="s">
        <v>191</v>
      </c>
      <c r="F158" s="137">
        <v>2.0</v>
      </c>
      <c r="G158" s="137">
        <v>1450.0</v>
      </c>
      <c r="H158" s="107">
        <f t="shared" si="4"/>
        <v>2900</v>
      </c>
      <c r="I158" s="143">
        <v>44876.0</v>
      </c>
    </row>
    <row r="159">
      <c r="D159" s="145">
        <v>1.0</v>
      </c>
      <c r="E159" s="136" t="s">
        <v>192</v>
      </c>
      <c r="F159" s="137">
        <v>1.0</v>
      </c>
      <c r="G159" s="137">
        <v>700.0</v>
      </c>
      <c r="H159" s="107">
        <f t="shared" si="4"/>
        <v>700</v>
      </c>
      <c r="I159" s="143">
        <v>44876.0</v>
      </c>
    </row>
    <row r="160">
      <c r="D160" s="145">
        <v>5.0</v>
      </c>
      <c r="E160" s="136" t="s">
        <v>193</v>
      </c>
      <c r="F160" s="137">
        <v>5.0</v>
      </c>
      <c r="G160" s="137">
        <v>250.0</v>
      </c>
      <c r="H160" s="107">
        <f t="shared" si="4"/>
        <v>1250</v>
      </c>
      <c r="I160" s="143">
        <v>44877.0</v>
      </c>
    </row>
    <row r="161">
      <c r="D161" s="145">
        <v>12.0</v>
      </c>
      <c r="E161" s="136" t="s">
        <v>194</v>
      </c>
      <c r="F161" s="137">
        <v>12.0</v>
      </c>
      <c r="G161" s="137">
        <v>150.0</v>
      </c>
      <c r="H161" s="107">
        <f t="shared" si="4"/>
        <v>1800</v>
      </c>
      <c r="I161" s="143">
        <v>44877.0</v>
      </c>
    </row>
    <row r="162">
      <c r="D162" s="145">
        <v>1.0</v>
      </c>
      <c r="E162" s="136" t="s">
        <v>159</v>
      </c>
      <c r="F162" s="137">
        <v>1.0</v>
      </c>
      <c r="G162" s="137">
        <v>700.0</v>
      </c>
      <c r="H162" s="107">
        <f t="shared" si="4"/>
        <v>700</v>
      </c>
      <c r="I162" s="143">
        <v>44877.0</v>
      </c>
    </row>
    <row r="163">
      <c r="E163" s="136" t="s">
        <v>142</v>
      </c>
      <c r="F163" s="137">
        <v>8.0</v>
      </c>
      <c r="G163" s="137">
        <v>100.0</v>
      </c>
      <c r="H163" s="107">
        <f t="shared" si="4"/>
        <v>800</v>
      </c>
      <c r="I163" s="143">
        <v>44877.0</v>
      </c>
    </row>
    <row r="164">
      <c r="E164" s="136" t="s">
        <v>195</v>
      </c>
      <c r="F164" s="137">
        <v>8.0</v>
      </c>
      <c r="G164" s="137">
        <v>150.0</v>
      </c>
      <c r="H164" s="107">
        <f t="shared" si="4"/>
        <v>1200</v>
      </c>
      <c r="I164" s="143">
        <v>44877.0</v>
      </c>
    </row>
    <row r="165">
      <c r="E165" s="136" t="s">
        <v>131</v>
      </c>
      <c r="F165" s="137">
        <v>10.0</v>
      </c>
      <c r="G165" s="137">
        <v>100.0</v>
      </c>
      <c r="H165" s="107">
        <f t="shared" si="4"/>
        <v>1000</v>
      </c>
      <c r="I165" s="143">
        <v>44877.0</v>
      </c>
    </row>
    <row r="166">
      <c r="E166" s="136" t="s">
        <v>196</v>
      </c>
      <c r="F166" s="137">
        <v>2.0</v>
      </c>
      <c r="G166" s="137">
        <v>300.0</v>
      </c>
      <c r="H166" s="107">
        <f t="shared" si="4"/>
        <v>600</v>
      </c>
      <c r="I166" s="143">
        <v>44877.0</v>
      </c>
    </row>
    <row r="167">
      <c r="E167" s="136" t="s">
        <v>197</v>
      </c>
      <c r="F167" s="137">
        <v>10.0</v>
      </c>
      <c r="G167" s="137">
        <v>20.0</v>
      </c>
      <c r="H167" s="107">
        <f t="shared" si="4"/>
        <v>200</v>
      </c>
      <c r="I167" s="143">
        <v>44877.0</v>
      </c>
    </row>
    <row r="168">
      <c r="E168" s="136" t="s">
        <v>198</v>
      </c>
      <c r="F168" s="137">
        <v>1.0</v>
      </c>
      <c r="G168" s="137">
        <v>450.0</v>
      </c>
      <c r="H168" s="107">
        <f t="shared" si="4"/>
        <v>450</v>
      </c>
      <c r="I168" s="143">
        <v>44877.0</v>
      </c>
    </row>
    <row r="169">
      <c r="E169" s="136" t="s">
        <v>137</v>
      </c>
      <c r="F169" s="137">
        <v>1.0</v>
      </c>
      <c r="G169" s="137">
        <v>350.0</v>
      </c>
      <c r="H169" s="107">
        <f t="shared" si="4"/>
        <v>350</v>
      </c>
      <c r="I169" s="143">
        <v>44877.0</v>
      </c>
    </row>
    <row r="170">
      <c r="E170" s="136" t="s">
        <v>199</v>
      </c>
      <c r="F170" s="137">
        <v>10.0</v>
      </c>
      <c r="G170" s="137">
        <v>25.0</v>
      </c>
      <c r="H170" s="107">
        <f t="shared" si="4"/>
        <v>250</v>
      </c>
      <c r="I170" s="143">
        <v>44877.0</v>
      </c>
    </row>
    <row r="171">
      <c r="E171" s="136" t="s">
        <v>140</v>
      </c>
      <c r="F171" s="137">
        <v>1.0</v>
      </c>
      <c r="G171" s="137">
        <v>100.0</v>
      </c>
      <c r="H171" s="107">
        <f t="shared" si="4"/>
        <v>100</v>
      </c>
      <c r="I171" s="143">
        <v>44877.0</v>
      </c>
    </row>
    <row r="172">
      <c r="E172" s="136" t="s">
        <v>166</v>
      </c>
      <c r="F172" s="137">
        <v>400.0</v>
      </c>
      <c r="G172" s="137">
        <v>50.0</v>
      </c>
      <c r="H172" s="107">
        <f t="shared" si="4"/>
        <v>20000</v>
      </c>
      <c r="I172" s="143">
        <v>44877.0</v>
      </c>
    </row>
    <row r="173">
      <c r="E173" s="136" t="s">
        <v>200</v>
      </c>
      <c r="F173" s="137">
        <v>1.0</v>
      </c>
      <c r="G173" s="137">
        <v>1000.0</v>
      </c>
      <c r="H173" s="107">
        <f t="shared" si="4"/>
        <v>1000</v>
      </c>
      <c r="I173" s="143">
        <v>44878.0</v>
      </c>
    </row>
    <row r="174">
      <c r="E174" s="136" t="s">
        <v>92</v>
      </c>
      <c r="F174" s="137">
        <v>2.0</v>
      </c>
      <c r="G174" s="137">
        <v>230.0</v>
      </c>
      <c r="H174" s="107">
        <f t="shared" si="4"/>
        <v>460</v>
      </c>
      <c r="I174" s="143">
        <v>44878.0</v>
      </c>
    </row>
    <row r="175">
      <c r="E175" s="136" t="s">
        <v>201</v>
      </c>
      <c r="F175" s="137">
        <v>45.0</v>
      </c>
      <c r="G175" s="137">
        <v>140.0</v>
      </c>
      <c r="H175" s="107">
        <f t="shared" si="4"/>
        <v>6300</v>
      </c>
      <c r="I175" s="143">
        <v>44878.0</v>
      </c>
    </row>
    <row r="176">
      <c r="E176" s="136" t="s">
        <v>157</v>
      </c>
      <c r="F176" s="137">
        <v>4.0</v>
      </c>
      <c r="G176" s="137">
        <v>160.0</v>
      </c>
      <c r="H176" s="107">
        <f t="shared" si="4"/>
        <v>640</v>
      </c>
      <c r="I176" s="143">
        <v>44878.0</v>
      </c>
    </row>
    <row r="177">
      <c r="E177" s="136" t="s">
        <v>202</v>
      </c>
      <c r="F177" s="137">
        <v>4.0</v>
      </c>
      <c r="G177" s="137">
        <v>70.0</v>
      </c>
      <c r="H177" s="107">
        <f t="shared" si="4"/>
        <v>280</v>
      </c>
      <c r="I177" s="143">
        <v>44878.0</v>
      </c>
    </row>
    <row r="178">
      <c r="E178" s="136" t="s">
        <v>198</v>
      </c>
      <c r="F178" s="137">
        <v>2.0</v>
      </c>
      <c r="G178" s="137">
        <v>600.0</v>
      </c>
      <c r="H178" s="107">
        <f t="shared" si="4"/>
        <v>1200</v>
      </c>
      <c r="I178" s="143">
        <v>44878.0</v>
      </c>
    </row>
    <row r="179">
      <c r="E179" s="136" t="s">
        <v>203</v>
      </c>
      <c r="F179" s="137">
        <v>2.0</v>
      </c>
      <c r="G179" s="137">
        <v>750.0</v>
      </c>
      <c r="H179" s="107">
        <f t="shared" si="4"/>
        <v>1500</v>
      </c>
      <c r="I179" s="143">
        <v>44878.0</v>
      </c>
    </row>
    <row r="180">
      <c r="E180" s="136" t="s">
        <v>133</v>
      </c>
      <c r="F180" s="137">
        <v>100.0</v>
      </c>
      <c r="G180" s="137">
        <v>95.0</v>
      </c>
      <c r="H180" s="107">
        <f t="shared" si="4"/>
        <v>9500</v>
      </c>
      <c r="I180" s="143">
        <v>44878.0</v>
      </c>
    </row>
    <row r="181">
      <c r="E181" s="136" t="s">
        <v>65</v>
      </c>
      <c r="F181" s="137">
        <v>5.0</v>
      </c>
      <c r="G181" s="137">
        <v>20.0</v>
      </c>
      <c r="H181" s="107">
        <f t="shared" si="4"/>
        <v>100</v>
      </c>
      <c r="I181" s="143">
        <v>44878.0</v>
      </c>
    </row>
    <row r="182">
      <c r="E182" s="136" t="s">
        <v>204</v>
      </c>
      <c r="F182" s="137">
        <v>3.0</v>
      </c>
      <c r="G182" s="137">
        <v>250.0</v>
      </c>
      <c r="H182" s="107">
        <f t="shared" si="4"/>
        <v>750</v>
      </c>
      <c r="I182" s="143">
        <v>44879.0</v>
      </c>
    </row>
    <row r="183">
      <c r="E183" s="136" t="s">
        <v>205</v>
      </c>
      <c r="F183" s="137">
        <v>5.0</v>
      </c>
      <c r="G183" s="137">
        <v>200.0</v>
      </c>
      <c r="H183" s="107">
        <f t="shared" si="4"/>
        <v>1000</v>
      </c>
      <c r="I183" s="143">
        <v>44879.0</v>
      </c>
    </row>
    <row r="184">
      <c r="E184" s="136" t="s">
        <v>206</v>
      </c>
      <c r="F184" s="137">
        <v>1.0</v>
      </c>
      <c r="G184" s="137">
        <v>200.0</v>
      </c>
      <c r="H184" s="107">
        <f t="shared" si="4"/>
        <v>200</v>
      </c>
      <c r="I184" s="143">
        <v>44879.0</v>
      </c>
    </row>
    <row r="185">
      <c r="E185" s="136" t="s">
        <v>133</v>
      </c>
      <c r="F185" s="137">
        <v>65.0</v>
      </c>
      <c r="G185" s="137">
        <v>95.0</v>
      </c>
      <c r="H185" s="107">
        <f t="shared" si="4"/>
        <v>6175</v>
      </c>
      <c r="I185" s="143">
        <v>44879.0</v>
      </c>
    </row>
    <row r="186">
      <c r="E186" s="136" t="s">
        <v>155</v>
      </c>
      <c r="F186" s="137">
        <v>1.0</v>
      </c>
      <c r="G186" s="137">
        <v>3500.0</v>
      </c>
      <c r="H186" s="107">
        <f t="shared" si="4"/>
        <v>3500</v>
      </c>
      <c r="I186" s="143">
        <v>44879.0</v>
      </c>
    </row>
    <row r="187">
      <c r="E187" s="136" t="s">
        <v>207</v>
      </c>
      <c r="F187" s="137">
        <v>12.0</v>
      </c>
      <c r="G187" s="137">
        <v>50.0</v>
      </c>
      <c r="H187" s="107">
        <f t="shared" si="4"/>
        <v>600</v>
      </c>
      <c r="I187" s="143">
        <v>44879.0</v>
      </c>
    </row>
    <row r="188">
      <c r="E188" s="136" t="s">
        <v>208</v>
      </c>
      <c r="F188" s="137">
        <v>1.0</v>
      </c>
      <c r="G188" s="137">
        <v>250.0</v>
      </c>
      <c r="H188" s="107">
        <f t="shared" si="4"/>
        <v>250</v>
      </c>
      <c r="I188" s="143">
        <v>44879.0</v>
      </c>
    </row>
    <row r="189">
      <c r="E189" s="136" t="s">
        <v>209</v>
      </c>
      <c r="F189" s="137">
        <v>25.0</v>
      </c>
      <c r="G189" s="137">
        <v>200.0</v>
      </c>
      <c r="H189" s="107">
        <f t="shared" si="4"/>
        <v>5000</v>
      </c>
      <c r="I189" s="143">
        <v>44879.0</v>
      </c>
    </row>
    <row r="190">
      <c r="E190" s="136" t="s">
        <v>157</v>
      </c>
      <c r="F190" s="137">
        <v>3.0</v>
      </c>
      <c r="G190" s="137">
        <v>160.0</v>
      </c>
      <c r="H190" s="107">
        <f t="shared" si="4"/>
        <v>480</v>
      </c>
      <c r="I190" s="143">
        <v>44879.0</v>
      </c>
    </row>
    <row r="191">
      <c r="E191" s="136" t="s">
        <v>65</v>
      </c>
      <c r="F191" s="137">
        <v>4.0</v>
      </c>
      <c r="G191" s="137">
        <v>550.0</v>
      </c>
      <c r="H191" s="107">
        <f t="shared" si="4"/>
        <v>2200</v>
      </c>
      <c r="I191" s="143">
        <v>44879.0</v>
      </c>
    </row>
    <row r="192">
      <c r="E192" s="136" t="s">
        <v>210</v>
      </c>
      <c r="F192" s="137">
        <v>2.0</v>
      </c>
      <c r="G192" s="137">
        <v>500.0</v>
      </c>
      <c r="H192" s="107">
        <f t="shared" si="4"/>
        <v>1000</v>
      </c>
      <c r="I192" s="143">
        <v>44879.0</v>
      </c>
    </row>
    <row r="193">
      <c r="E193" s="136" t="s">
        <v>159</v>
      </c>
      <c r="F193" s="137">
        <v>4.0</v>
      </c>
      <c r="G193" s="137">
        <v>600.0</v>
      </c>
      <c r="H193" s="107">
        <f t="shared" si="4"/>
        <v>2400</v>
      </c>
      <c r="I193" s="143">
        <v>44880.0</v>
      </c>
    </row>
    <row r="194">
      <c r="E194" s="136" t="s">
        <v>143</v>
      </c>
      <c r="F194" s="137">
        <v>5.0</v>
      </c>
      <c r="G194" s="137">
        <v>140.0</v>
      </c>
      <c r="H194" s="107">
        <f t="shared" si="4"/>
        <v>700</v>
      </c>
      <c r="I194" s="143">
        <v>44880.0</v>
      </c>
    </row>
    <row r="195">
      <c r="E195" s="136" t="s">
        <v>113</v>
      </c>
      <c r="F195" s="137">
        <v>4.0</v>
      </c>
      <c r="G195" s="137">
        <v>260.0</v>
      </c>
      <c r="H195" s="107">
        <f t="shared" si="4"/>
        <v>1040</v>
      </c>
      <c r="I195" s="143">
        <v>44880.0</v>
      </c>
    </row>
    <row r="196">
      <c r="E196" s="136" t="s">
        <v>211</v>
      </c>
      <c r="F196" s="137">
        <v>1.0</v>
      </c>
      <c r="G196" s="137">
        <v>450.0</v>
      </c>
      <c r="H196" s="107">
        <f t="shared" si="4"/>
        <v>450</v>
      </c>
      <c r="I196" s="143">
        <v>44880.0</v>
      </c>
    </row>
    <row r="197">
      <c r="E197" s="136" t="s">
        <v>134</v>
      </c>
      <c r="F197" s="137">
        <v>5.0</v>
      </c>
      <c r="G197" s="137">
        <v>100.0</v>
      </c>
      <c r="H197" s="107">
        <f t="shared" si="4"/>
        <v>500</v>
      </c>
      <c r="I197" s="143">
        <v>44880.0</v>
      </c>
    </row>
    <row r="198">
      <c r="E198" s="136" t="s">
        <v>212</v>
      </c>
      <c r="F198" s="137">
        <v>7.0</v>
      </c>
      <c r="G198" s="137">
        <v>150.0</v>
      </c>
      <c r="H198" s="107">
        <f t="shared" si="4"/>
        <v>1050</v>
      </c>
      <c r="I198" s="143">
        <v>44880.0</v>
      </c>
    </row>
    <row r="199">
      <c r="E199" s="136" t="s">
        <v>213</v>
      </c>
      <c r="F199" s="137">
        <v>1.0</v>
      </c>
      <c r="G199" s="137">
        <v>200.0</v>
      </c>
      <c r="H199" s="107">
        <f t="shared" si="4"/>
        <v>200</v>
      </c>
      <c r="I199" s="143">
        <v>44880.0</v>
      </c>
    </row>
    <row r="200">
      <c r="E200" s="136" t="s">
        <v>214</v>
      </c>
      <c r="F200" s="137">
        <v>1.0</v>
      </c>
      <c r="G200" s="137">
        <v>400.0</v>
      </c>
      <c r="H200" s="107">
        <f t="shared" si="4"/>
        <v>400</v>
      </c>
      <c r="I200" s="143">
        <v>44880.0</v>
      </c>
    </row>
    <row r="201">
      <c r="E201" s="136" t="s">
        <v>215</v>
      </c>
      <c r="F201" s="137">
        <v>40.0</v>
      </c>
      <c r="G201" s="137">
        <v>45.0</v>
      </c>
      <c r="H201" s="107">
        <f t="shared" si="4"/>
        <v>1800</v>
      </c>
      <c r="I201" s="143">
        <v>44880.0</v>
      </c>
    </row>
    <row r="202">
      <c r="E202" s="136" t="s">
        <v>216</v>
      </c>
      <c r="F202" s="137">
        <v>10.0</v>
      </c>
      <c r="G202" s="137">
        <v>15.0</v>
      </c>
      <c r="H202" s="107">
        <f t="shared" si="4"/>
        <v>150</v>
      </c>
      <c r="I202" s="143">
        <v>44880.0</v>
      </c>
    </row>
    <row r="203">
      <c r="E203" s="136" t="s">
        <v>140</v>
      </c>
      <c r="F203" s="137">
        <v>1.0</v>
      </c>
      <c r="G203" s="137">
        <v>100.0</v>
      </c>
      <c r="H203" s="107">
        <f t="shared" si="4"/>
        <v>100</v>
      </c>
      <c r="I203" s="143">
        <v>44880.0</v>
      </c>
    </row>
    <row r="204">
      <c r="E204" s="136" t="s">
        <v>217</v>
      </c>
      <c r="F204" s="137">
        <v>2.0</v>
      </c>
      <c r="G204" s="137">
        <v>150.0</v>
      </c>
      <c r="H204" s="107">
        <f t="shared" si="4"/>
        <v>300</v>
      </c>
      <c r="I204" s="143">
        <v>44880.0</v>
      </c>
    </row>
    <row r="205">
      <c r="E205" s="136" t="s">
        <v>131</v>
      </c>
      <c r="F205" s="137">
        <v>5.0</v>
      </c>
      <c r="G205" s="137">
        <v>100.0</v>
      </c>
      <c r="H205" s="107">
        <f t="shared" si="4"/>
        <v>500</v>
      </c>
      <c r="I205" s="143">
        <v>44880.0</v>
      </c>
    </row>
    <row r="206">
      <c r="E206" s="136" t="s">
        <v>157</v>
      </c>
      <c r="F206" s="137">
        <v>3.0</v>
      </c>
      <c r="G206" s="137">
        <v>200.0</v>
      </c>
      <c r="H206" s="107">
        <f t="shared" si="4"/>
        <v>600</v>
      </c>
      <c r="I206" s="143">
        <v>44880.0</v>
      </c>
    </row>
    <row r="207">
      <c r="E207" s="136" t="s">
        <v>217</v>
      </c>
      <c r="F207" s="137">
        <v>50.0</v>
      </c>
      <c r="G207" s="137">
        <v>17.0</v>
      </c>
      <c r="H207" s="107">
        <f t="shared" si="4"/>
        <v>850</v>
      </c>
      <c r="I207" s="143">
        <v>44881.0</v>
      </c>
    </row>
    <row r="208">
      <c r="E208" s="136" t="s">
        <v>155</v>
      </c>
      <c r="F208" s="137">
        <v>1.0</v>
      </c>
      <c r="G208" s="137">
        <v>840.0</v>
      </c>
      <c r="H208" s="107">
        <f t="shared" si="4"/>
        <v>840</v>
      </c>
      <c r="I208" s="143">
        <v>44881.0</v>
      </c>
    </row>
    <row r="209">
      <c r="E209" s="136" t="s">
        <v>218</v>
      </c>
      <c r="F209" s="137">
        <v>3.0</v>
      </c>
      <c r="G209" s="137">
        <v>150.0</v>
      </c>
      <c r="H209" s="107">
        <f t="shared" si="4"/>
        <v>450</v>
      </c>
      <c r="I209" s="143">
        <v>44881.0</v>
      </c>
    </row>
    <row r="210">
      <c r="E210" s="136" t="s">
        <v>219</v>
      </c>
      <c r="F210" s="137">
        <v>2.0</v>
      </c>
      <c r="G210" s="137">
        <v>250.0</v>
      </c>
      <c r="H210" s="107">
        <f t="shared" si="4"/>
        <v>500</v>
      </c>
      <c r="I210" s="143">
        <v>44881.0</v>
      </c>
    </row>
    <row r="211">
      <c r="E211" s="136" t="s">
        <v>220</v>
      </c>
      <c r="F211" s="137">
        <v>2.0</v>
      </c>
      <c r="G211" s="137">
        <v>210.0</v>
      </c>
      <c r="H211" s="107">
        <f t="shared" si="4"/>
        <v>420</v>
      </c>
      <c r="I211" s="143">
        <v>44881.0</v>
      </c>
    </row>
    <row r="212">
      <c r="E212" s="136" t="s">
        <v>221</v>
      </c>
      <c r="F212" s="137">
        <v>30.0</v>
      </c>
      <c r="G212" s="137">
        <v>5.0</v>
      </c>
      <c r="H212" s="107">
        <f t="shared" si="4"/>
        <v>150</v>
      </c>
      <c r="I212" s="143">
        <v>44881.0</v>
      </c>
    </row>
    <row r="213">
      <c r="E213" s="136" t="s">
        <v>117</v>
      </c>
      <c r="F213" s="137">
        <v>1.0</v>
      </c>
      <c r="G213" s="137">
        <v>400.0</v>
      </c>
      <c r="H213" s="107">
        <f t="shared" si="4"/>
        <v>400</v>
      </c>
      <c r="I213" s="143">
        <v>44881.0</v>
      </c>
    </row>
    <row r="214">
      <c r="E214" s="136" t="s">
        <v>176</v>
      </c>
      <c r="F214" s="137">
        <v>2.0</v>
      </c>
      <c r="G214" s="137">
        <v>100.0</v>
      </c>
      <c r="H214" s="107">
        <f t="shared" si="4"/>
        <v>200</v>
      </c>
      <c r="I214" s="143">
        <v>44881.0</v>
      </c>
    </row>
    <row r="215">
      <c r="E215" s="136" t="s">
        <v>131</v>
      </c>
      <c r="F215" s="137">
        <v>5.0</v>
      </c>
      <c r="G215" s="137">
        <v>100.0</v>
      </c>
      <c r="H215" s="107">
        <f t="shared" si="4"/>
        <v>500</v>
      </c>
      <c r="I215" s="143">
        <v>44881.0</v>
      </c>
    </row>
    <row r="216">
      <c r="E216" s="136" t="s">
        <v>222</v>
      </c>
      <c r="F216" s="137">
        <v>1.0</v>
      </c>
      <c r="G216" s="137">
        <v>7000.0</v>
      </c>
      <c r="H216" s="107">
        <f t="shared" si="4"/>
        <v>7000</v>
      </c>
      <c r="I216" s="143">
        <v>44881.0</v>
      </c>
    </row>
    <row r="217">
      <c r="E217" s="136" t="s">
        <v>223</v>
      </c>
      <c r="F217" s="137">
        <v>1.0</v>
      </c>
      <c r="G217" s="137">
        <v>600.0</v>
      </c>
      <c r="H217" s="107">
        <f t="shared" si="4"/>
        <v>600</v>
      </c>
      <c r="I217" s="143">
        <v>44882.0</v>
      </c>
    </row>
    <row r="218">
      <c r="E218" s="136" t="s">
        <v>133</v>
      </c>
      <c r="F218" s="137">
        <v>20.0</v>
      </c>
      <c r="G218" s="137">
        <v>100.0</v>
      </c>
      <c r="H218" s="107">
        <f t="shared" si="4"/>
        <v>2000</v>
      </c>
      <c r="I218" s="143">
        <v>44882.0</v>
      </c>
    </row>
    <row r="219">
      <c r="E219" s="136" t="s">
        <v>224</v>
      </c>
      <c r="F219" s="137">
        <v>2.0</v>
      </c>
      <c r="G219" s="137">
        <v>1500.0</v>
      </c>
      <c r="H219" s="107">
        <f t="shared" si="4"/>
        <v>3000</v>
      </c>
      <c r="I219" s="143">
        <v>44882.0</v>
      </c>
    </row>
    <row r="220">
      <c r="E220" s="136" t="s">
        <v>225</v>
      </c>
      <c r="F220" s="137">
        <v>1.0</v>
      </c>
      <c r="G220" s="137">
        <v>230.0</v>
      </c>
      <c r="H220" s="107">
        <f t="shared" si="4"/>
        <v>230</v>
      </c>
      <c r="I220" s="143">
        <v>44882.0</v>
      </c>
    </row>
    <row r="221">
      <c r="E221" s="136" t="s">
        <v>215</v>
      </c>
      <c r="F221" s="137">
        <v>26.0</v>
      </c>
      <c r="G221" s="137">
        <v>45.0</v>
      </c>
      <c r="H221" s="107">
        <f t="shared" si="4"/>
        <v>1170</v>
      </c>
      <c r="I221" s="143">
        <v>44882.0</v>
      </c>
    </row>
    <row r="222">
      <c r="E222" s="136" t="s">
        <v>143</v>
      </c>
      <c r="F222" s="137">
        <v>7.0</v>
      </c>
      <c r="G222" s="137">
        <v>150.0</v>
      </c>
      <c r="H222" s="107">
        <f t="shared" si="4"/>
        <v>1050</v>
      </c>
      <c r="I222" s="137" t="s">
        <v>226</v>
      </c>
    </row>
    <row r="223">
      <c r="E223" s="136" t="s">
        <v>137</v>
      </c>
      <c r="F223" s="137">
        <v>2.0</v>
      </c>
      <c r="G223" s="137">
        <v>550.0</v>
      </c>
      <c r="H223" s="107">
        <f t="shared" si="4"/>
        <v>1100</v>
      </c>
      <c r="I223" s="137" t="s">
        <v>226</v>
      </c>
    </row>
    <row r="224">
      <c r="E224" s="136" t="s">
        <v>137</v>
      </c>
      <c r="F224" s="137">
        <v>1.0</v>
      </c>
      <c r="G224" s="147"/>
      <c r="H224" s="107">
        <f t="shared" si="4"/>
        <v>0</v>
      </c>
      <c r="I224" s="137" t="s">
        <v>226</v>
      </c>
    </row>
    <row r="225">
      <c r="E225" s="136" t="s">
        <v>168</v>
      </c>
      <c r="F225" s="137">
        <v>1.0</v>
      </c>
      <c r="G225" s="147"/>
      <c r="H225" s="107">
        <f t="shared" si="4"/>
        <v>0</v>
      </c>
      <c r="I225" s="137" t="s">
        <v>226</v>
      </c>
    </row>
    <row r="226">
      <c r="E226" s="136" t="s">
        <v>157</v>
      </c>
      <c r="F226" s="137">
        <v>2.0</v>
      </c>
      <c r="G226" s="137">
        <v>150.0</v>
      </c>
      <c r="H226" s="107">
        <f t="shared" si="4"/>
        <v>300</v>
      </c>
      <c r="I226" s="137" t="s">
        <v>226</v>
      </c>
    </row>
    <row r="227">
      <c r="E227" s="136" t="s">
        <v>227</v>
      </c>
      <c r="F227" s="137">
        <v>1.0</v>
      </c>
      <c r="G227" s="137">
        <v>1350.0</v>
      </c>
      <c r="H227" s="107">
        <f t="shared" si="4"/>
        <v>1350</v>
      </c>
      <c r="I227" s="137" t="s">
        <v>226</v>
      </c>
    </row>
    <row r="228">
      <c r="E228" s="136" t="s">
        <v>228</v>
      </c>
      <c r="F228" s="137">
        <v>1.0</v>
      </c>
      <c r="G228" s="137">
        <v>300.0</v>
      </c>
      <c r="H228" s="107">
        <f t="shared" si="4"/>
        <v>300</v>
      </c>
      <c r="I228" s="137" t="s">
        <v>226</v>
      </c>
    </row>
    <row r="229">
      <c r="E229" s="136" t="s">
        <v>229</v>
      </c>
      <c r="F229" s="137">
        <v>9.0</v>
      </c>
      <c r="G229" s="137">
        <v>140.0</v>
      </c>
      <c r="H229" s="107">
        <f t="shared" si="4"/>
        <v>1260</v>
      </c>
      <c r="I229" s="137" t="s">
        <v>226</v>
      </c>
    </row>
    <row r="230">
      <c r="E230" s="136" t="s">
        <v>155</v>
      </c>
      <c r="F230" s="137">
        <v>1.0</v>
      </c>
      <c r="G230" s="137">
        <v>900.0</v>
      </c>
      <c r="H230" s="107">
        <f t="shared" si="4"/>
        <v>900</v>
      </c>
      <c r="I230" s="137" t="s">
        <v>226</v>
      </c>
    </row>
    <row r="231">
      <c r="E231" s="136" t="s">
        <v>131</v>
      </c>
      <c r="F231" s="137">
        <v>10.0</v>
      </c>
      <c r="G231" s="137">
        <v>100.0</v>
      </c>
      <c r="H231" s="107">
        <f t="shared" si="4"/>
        <v>1000</v>
      </c>
      <c r="I231" s="137" t="s">
        <v>226</v>
      </c>
    </row>
    <row r="232">
      <c r="E232" s="136" t="s">
        <v>176</v>
      </c>
      <c r="F232" s="137">
        <v>1.0</v>
      </c>
      <c r="G232" s="137">
        <v>100.0</v>
      </c>
      <c r="H232" s="107">
        <f t="shared" si="4"/>
        <v>100</v>
      </c>
      <c r="I232" s="137" t="s">
        <v>226</v>
      </c>
    </row>
    <row r="233">
      <c r="E233" s="136" t="s">
        <v>230</v>
      </c>
      <c r="F233" s="137">
        <v>20.0</v>
      </c>
      <c r="G233" s="137">
        <v>15.0</v>
      </c>
      <c r="H233" s="107">
        <f t="shared" si="4"/>
        <v>300</v>
      </c>
      <c r="I233" s="137" t="s">
        <v>226</v>
      </c>
    </row>
    <row r="234">
      <c r="E234" s="136" t="s">
        <v>231</v>
      </c>
      <c r="F234" s="137">
        <v>1.0</v>
      </c>
      <c r="G234" s="147"/>
      <c r="H234" s="107">
        <f t="shared" si="4"/>
        <v>0</v>
      </c>
      <c r="I234" s="137" t="s">
        <v>226</v>
      </c>
    </row>
    <row r="235">
      <c r="E235" s="148" t="s">
        <v>232</v>
      </c>
      <c r="F235" s="149">
        <v>2.0</v>
      </c>
      <c r="G235" s="149">
        <v>800.0</v>
      </c>
      <c r="H235" s="150">
        <f t="shared" si="4"/>
        <v>1600</v>
      </c>
      <c r="I235" s="149" t="s">
        <v>233</v>
      </c>
    </row>
    <row r="236">
      <c r="E236" s="148" t="s">
        <v>234</v>
      </c>
      <c r="F236" s="149">
        <v>0.0</v>
      </c>
      <c r="G236" s="149">
        <v>1320.0</v>
      </c>
      <c r="H236" s="150">
        <f t="shared" si="4"/>
        <v>0</v>
      </c>
      <c r="I236" s="149" t="s">
        <v>233</v>
      </c>
    </row>
    <row r="237">
      <c r="E237" s="136" t="s">
        <v>92</v>
      </c>
      <c r="F237" s="137">
        <v>28.0</v>
      </c>
      <c r="G237" s="137">
        <v>195.0</v>
      </c>
      <c r="H237" s="107">
        <f t="shared" si="4"/>
        <v>5460</v>
      </c>
      <c r="I237" s="137" t="s">
        <v>233</v>
      </c>
    </row>
    <row r="238">
      <c r="E238" s="136" t="s">
        <v>89</v>
      </c>
      <c r="F238" s="151">
        <v>1.0</v>
      </c>
      <c r="G238" s="137">
        <v>1950.0</v>
      </c>
      <c r="H238" s="107">
        <f t="shared" si="4"/>
        <v>1950</v>
      </c>
      <c r="I238" s="137" t="s">
        <v>233</v>
      </c>
    </row>
    <row r="239">
      <c r="E239" s="136" t="s">
        <v>235</v>
      </c>
      <c r="F239" s="137">
        <v>1.1</v>
      </c>
      <c r="G239" s="137">
        <v>2050.0</v>
      </c>
      <c r="H239" s="107">
        <f t="shared" si="4"/>
        <v>2255</v>
      </c>
      <c r="I239" s="137" t="s">
        <v>233</v>
      </c>
    </row>
    <row r="240">
      <c r="E240" s="148" t="s">
        <v>236</v>
      </c>
      <c r="F240" s="149">
        <v>4.0</v>
      </c>
      <c r="G240" s="149">
        <v>1850.0</v>
      </c>
      <c r="H240" s="150">
        <f t="shared" si="4"/>
        <v>7400</v>
      </c>
      <c r="I240" s="149" t="s">
        <v>233</v>
      </c>
    </row>
    <row r="241">
      <c r="E241" s="136" t="s">
        <v>145</v>
      </c>
      <c r="F241" s="137">
        <v>2.0</v>
      </c>
      <c r="G241" s="137">
        <v>1750.0</v>
      </c>
      <c r="H241" s="107">
        <f t="shared" si="4"/>
        <v>3500</v>
      </c>
      <c r="I241" s="137" t="s">
        <v>233</v>
      </c>
    </row>
    <row r="242">
      <c r="E242" s="136" t="s">
        <v>146</v>
      </c>
      <c r="F242" s="137">
        <v>2.0</v>
      </c>
      <c r="G242" s="137">
        <v>1400.0</v>
      </c>
      <c r="H242" s="107">
        <f t="shared" si="4"/>
        <v>2800</v>
      </c>
      <c r="I242" s="137" t="s">
        <v>233</v>
      </c>
    </row>
    <row r="243">
      <c r="E243" s="136" t="s">
        <v>237</v>
      </c>
      <c r="F243" s="137">
        <v>1.0</v>
      </c>
      <c r="G243" s="137">
        <v>1000.0</v>
      </c>
      <c r="H243" s="107">
        <f t="shared" si="4"/>
        <v>1000</v>
      </c>
      <c r="I243" s="137" t="s">
        <v>238</v>
      </c>
    </row>
    <row r="244">
      <c r="E244" s="148" t="s">
        <v>239</v>
      </c>
      <c r="F244" s="149">
        <v>1.0</v>
      </c>
      <c r="G244" s="149">
        <v>570.0</v>
      </c>
      <c r="H244" s="150">
        <f t="shared" si="4"/>
        <v>570</v>
      </c>
      <c r="I244" s="149" t="s">
        <v>238</v>
      </c>
    </row>
    <row r="245">
      <c r="E245" s="148" t="s">
        <v>240</v>
      </c>
      <c r="F245" s="149">
        <v>9.0</v>
      </c>
      <c r="G245" s="149">
        <v>103.0</v>
      </c>
      <c r="H245" s="150">
        <f t="shared" si="4"/>
        <v>927</v>
      </c>
      <c r="I245" s="149" t="s">
        <v>238</v>
      </c>
    </row>
    <row r="246">
      <c r="E246" s="148" t="s">
        <v>174</v>
      </c>
      <c r="F246" s="149">
        <v>3.0</v>
      </c>
      <c r="G246" s="149">
        <v>670.0</v>
      </c>
      <c r="H246" s="150">
        <f t="shared" si="4"/>
        <v>2010</v>
      </c>
      <c r="I246" s="149" t="s">
        <v>238</v>
      </c>
    </row>
    <row r="247">
      <c r="E247" s="136" t="s">
        <v>241</v>
      </c>
      <c r="F247" s="137">
        <v>1.0</v>
      </c>
      <c r="G247" s="137">
        <v>870.0</v>
      </c>
      <c r="H247" s="107">
        <f t="shared" si="4"/>
        <v>870</v>
      </c>
      <c r="I247" s="137" t="s">
        <v>238</v>
      </c>
    </row>
    <row r="248">
      <c r="E248" s="136" t="s">
        <v>159</v>
      </c>
      <c r="F248" s="137">
        <v>2.0</v>
      </c>
      <c r="G248" s="137">
        <v>700.0</v>
      </c>
      <c r="H248" s="107">
        <f t="shared" si="4"/>
        <v>1400</v>
      </c>
      <c r="I248" s="137" t="s">
        <v>238</v>
      </c>
    </row>
    <row r="249">
      <c r="E249" s="136" t="s">
        <v>168</v>
      </c>
      <c r="F249" s="137">
        <v>3.0</v>
      </c>
      <c r="G249" s="137">
        <v>600.0</v>
      </c>
      <c r="H249" s="107">
        <f t="shared" si="4"/>
        <v>1800</v>
      </c>
      <c r="I249" s="137" t="s">
        <v>238</v>
      </c>
    </row>
    <row r="250">
      <c r="E250" s="136" t="s">
        <v>133</v>
      </c>
      <c r="F250" s="137">
        <v>150.0</v>
      </c>
      <c r="G250" s="137">
        <v>90.0</v>
      </c>
      <c r="H250" s="107">
        <f t="shared" si="4"/>
        <v>13500</v>
      </c>
      <c r="I250" s="137" t="s">
        <v>238</v>
      </c>
    </row>
    <row r="251">
      <c r="E251" s="136" t="s">
        <v>133</v>
      </c>
      <c r="F251" s="137">
        <v>40.0</v>
      </c>
      <c r="G251" s="137">
        <v>90.0</v>
      </c>
      <c r="H251" s="107">
        <f t="shared" si="4"/>
        <v>3600</v>
      </c>
      <c r="I251" s="137" t="s">
        <v>233</v>
      </c>
    </row>
    <row r="252">
      <c r="E252" s="136" t="s">
        <v>242</v>
      </c>
      <c r="F252" s="137">
        <v>12.0</v>
      </c>
      <c r="G252" s="137">
        <v>150.0</v>
      </c>
      <c r="H252" s="107">
        <f t="shared" si="4"/>
        <v>1800</v>
      </c>
      <c r="I252" s="137" t="s">
        <v>233</v>
      </c>
    </row>
    <row r="253">
      <c r="E253" s="136" t="s">
        <v>137</v>
      </c>
      <c r="F253" s="137">
        <v>4.0</v>
      </c>
      <c r="G253" s="137">
        <v>600.0</v>
      </c>
      <c r="H253" s="107">
        <f t="shared" si="4"/>
        <v>2400</v>
      </c>
      <c r="I253" s="137" t="s">
        <v>233</v>
      </c>
    </row>
    <row r="254">
      <c r="E254" s="136" t="s">
        <v>131</v>
      </c>
      <c r="F254" s="137">
        <v>15.0</v>
      </c>
      <c r="G254" s="137">
        <v>100.0</v>
      </c>
      <c r="H254" s="107">
        <f t="shared" si="4"/>
        <v>1500</v>
      </c>
      <c r="I254" s="137" t="s">
        <v>233</v>
      </c>
    </row>
    <row r="255">
      <c r="E255" s="136" t="s">
        <v>155</v>
      </c>
      <c r="F255" s="137">
        <v>1.0</v>
      </c>
      <c r="G255" s="137">
        <v>800.0</v>
      </c>
      <c r="H255" s="107">
        <f t="shared" si="4"/>
        <v>800</v>
      </c>
      <c r="I255" s="137" t="s">
        <v>233</v>
      </c>
    </row>
    <row r="256">
      <c r="E256" s="136" t="s">
        <v>160</v>
      </c>
      <c r="F256" s="137">
        <v>5.0</v>
      </c>
      <c r="G256" s="137">
        <v>100.0</v>
      </c>
      <c r="H256" s="107">
        <f t="shared" si="4"/>
        <v>500</v>
      </c>
      <c r="I256" s="137" t="s">
        <v>233</v>
      </c>
    </row>
    <row r="257">
      <c r="E257" s="136" t="s">
        <v>157</v>
      </c>
      <c r="F257" s="137">
        <v>1.0</v>
      </c>
      <c r="G257" s="137">
        <v>150.0</v>
      </c>
      <c r="H257" s="152">
        <f t="shared" ref="H257:H309" si="5">F257*G257</f>
        <v>150</v>
      </c>
      <c r="I257" s="137" t="s">
        <v>233</v>
      </c>
    </row>
    <row r="258">
      <c r="E258" s="136" t="s">
        <v>156</v>
      </c>
      <c r="F258" s="137">
        <v>0.5</v>
      </c>
      <c r="G258" s="137">
        <v>1700.0</v>
      </c>
      <c r="H258" s="152">
        <f t="shared" si="5"/>
        <v>850</v>
      </c>
      <c r="I258" s="137" t="s">
        <v>233</v>
      </c>
    </row>
    <row r="259">
      <c r="E259" s="136" t="s">
        <v>243</v>
      </c>
      <c r="F259" s="137">
        <v>20.0</v>
      </c>
      <c r="G259" s="137">
        <v>15.0</v>
      </c>
      <c r="H259" s="152">
        <f t="shared" si="5"/>
        <v>300</v>
      </c>
      <c r="I259" s="137" t="s">
        <v>233</v>
      </c>
    </row>
    <row r="260">
      <c r="E260" s="136" t="s">
        <v>244</v>
      </c>
      <c r="F260" s="153">
        <v>1.0</v>
      </c>
      <c r="G260" s="153">
        <v>600.0</v>
      </c>
      <c r="H260" s="152">
        <f t="shared" si="5"/>
        <v>600</v>
      </c>
      <c r="I260" s="153" t="s">
        <v>233</v>
      </c>
    </row>
    <row r="261">
      <c r="E261" s="136" t="s">
        <v>245</v>
      </c>
      <c r="F261" s="153">
        <v>2.0</v>
      </c>
      <c r="G261" s="153">
        <v>1000.0</v>
      </c>
      <c r="H261" s="152">
        <f t="shared" si="5"/>
        <v>2000</v>
      </c>
      <c r="I261" s="154">
        <v>44885.0</v>
      </c>
    </row>
    <row r="262">
      <c r="E262" s="136" t="s">
        <v>190</v>
      </c>
      <c r="F262" s="153">
        <v>10.0</v>
      </c>
      <c r="G262" s="153">
        <v>1560.0</v>
      </c>
      <c r="H262" s="152">
        <f t="shared" si="5"/>
        <v>15600</v>
      </c>
      <c r="I262" s="154">
        <v>44885.0</v>
      </c>
    </row>
    <row r="263">
      <c r="E263" s="136" t="s">
        <v>246</v>
      </c>
      <c r="F263" s="153">
        <v>1.0</v>
      </c>
      <c r="G263" s="153">
        <v>1400.0</v>
      </c>
      <c r="H263" s="152">
        <f t="shared" si="5"/>
        <v>1400</v>
      </c>
      <c r="I263" s="154">
        <v>44885.0</v>
      </c>
    </row>
    <row r="264">
      <c r="E264" s="136" t="s">
        <v>160</v>
      </c>
      <c r="F264" s="153">
        <v>20.0</v>
      </c>
      <c r="G264" s="153">
        <v>100.0</v>
      </c>
      <c r="H264" s="152">
        <f t="shared" si="5"/>
        <v>2000</v>
      </c>
      <c r="I264" s="154">
        <v>44885.0</v>
      </c>
    </row>
    <row r="265">
      <c r="E265" s="136" t="s">
        <v>137</v>
      </c>
      <c r="F265" s="153">
        <v>5.0</v>
      </c>
      <c r="G265" s="153">
        <v>700.0</v>
      </c>
      <c r="H265" s="152">
        <f t="shared" si="5"/>
        <v>3500</v>
      </c>
      <c r="I265" s="154">
        <v>44885.0</v>
      </c>
    </row>
    <row r="266">
      <c r="E266" s="136" t="s">
        <v>143</v>
      </c>
      <c r="F266" s="153">
        <v>60.0</v>
      </c>
      <c r="G266" s="153">
        <v>150.0</v>
      </c>
      <c r="H266" s="152">
        <f t="shared" si="5"/>
        <v>9000</v>
      </c>
      <c r="I266" s="154">
        <v>44885.0</v>
      </c>
    </row>
    <row r="267">
      <c r="E267" s="136" t="s">
        <v>134</v>
      </c>
      <c r="F267" s="153">
        <v>6.0</v>
      </c>
      <c r="G267" s="153">
        <v>100.0</v>
      </c>
      <c r="H267" s="152">
        <f t="shared" si="5"/>
        <v>600</v>
      </c>
      <c r="I267" s="154">
        <v>44885.0</v>
      </c>
    </row>
    <row r="268">
      <c r="E268" s="136" t="s">
        <v>247</v>
      </c>
      <c r="F268" s="153">
        <v>1.0</v>
      </c>
      <c r="G268" s="153">
        <v>150.0</v>
      </c>
      <c r="H268" s="152">
        <f t="shared" si="5"/>
        <v>150</v>
      </c>
      <c r="I268" s="154">
        <v>44885.0</v>
      </c>
    </row>
    <row r="269">
      <c r="E269" s="136" t="s">
        <v>248</v>
      </c>
      <c r="F269" s="153">
        <v>3.0</v>
      </c>
      <c r="G269" s="153">
        <v>100.0</v>
      </c>
      <c r="H269" s="152">
        <f t="shared" si="5"/>
        <v>300</v>
      </c>
      <c r="I269" s="154">
        <v>44887.0</v>
      </c>
    </row>
    <row r="270">
      <c r="E270" s="136" t="s">
        <v>249</v>
      </c>
      <c r="F270" s="153">
        <v>2.0</v>
      </c>
      <c r="G270" s="153">
        <v>100.0</v>
      </c>
      <c r="H270" s="152">
        <f t="shared" si="5"/>
        <v>200</v>
      </c>
      <c r="I270" s="154">
        <v>44887.0</v>
      </c>
    </row>
    <row r="271">
      <c r="E271" s="136" t="s">
        <v>250</v>
      </c>
      <c r="F271" s="153">
        <v>1.0</v>
      </c>
      <c r="G271" s="153">
        <v>150.0</v>
      </c>
      <c r="H271" s="152">
        <f t="shared" si="5"/>
        <v>150</v>
      </c>
      <c r="I271" s="154">
        <v>44887.0</v>
      </c>
    </row>
    <row r="272">
      <c r="E272" s="136" t="s">
        <v>157</v>
      </c>
      <c r="F272" s="153">
        <v>8.0</v>
      </c>
      <c r="G272" s="153">
        <v>200.0</v>
      </c>
      <c r="H272" s="152">
        <f t="shared" si="5"/>
        <v>1600</v>
      </c>
      <c r="I272" s="154">
        <v>44887.0</v>
      </c>
    </row>
    <row r="273">
      <c r="E273" s="136" t="s">
        <v>176</v>
      </c>
      <c r="F273" s="153">
        <v>2.0</v>
      </c>
      <c r="G273" s="153">
        <v>200.0</v>
      </c>
      <c r="H273" s="152">
        <f t="shared" si="5"/>
        <v>400</v>
      </c>
      <c r="I273" s="154">
        <v>44887.0</v>
      </c>
    </row>
    <row r="274">
      <c r="E274" s="136" t="s">
        <v>251</v>
      </c>
      <c r="F274" s="153">
        <v>24.0</v>
      </c>
      <c r="G274" s="153">
        <v>40.0</v>
      </c>
      <c r="H274" s="152">
        <f t="shared" si="5"/>
        <v>960</v>
      </c>
      <c r="I274" s="154">
        <v>44887.0</v>
      </c>
    </row>
    <row r="275">
      <c r="E275" s="136" t="s">
        <v>140</v>
      </c>
      <c r="F275" s="153">
        <v>7.0</v>
      </c>
      <c r="G275" s="153">
        <v>100.0</v>
      </c>
      <c r="H275" s="152">
        <f t="shared" si="5"/>
        <v>700</v>
      </c>
      <c r="I275" s="154">
        <v>44887.0</v>
      </c>
    </row>
    <row r="276">
      <c r="E276" s="136" t="s">
        <v>252</v>
      </c>
      <c r="F276" s="153">
        <v>20.0</v>
      </c>
      <c r="G276" s="153">
        <v>20.0</v>
      </c>
      <c r="H276" s="152">
        <f t="shared" si="5"/>
        <v>400</v>
      </c>
      <c r="I276" s="154">
        <v>44887.0</v>
      </c>
    </row>
    <row r="277">
      <c r="E277" s="136" t="s">
        <v>214</v>
      </c>
      <c r="F277" s="153">
        <v>1.0</v>
      </c>
      <c r="G277" s="153">
        <v>400.0</v>
      </c>
      <c r="H277" s="152">
        <f t="shared" si="5"/>
        <v>400</v>
      </c>
      <c r="I277" s="154">
        <v>44887.0</v>
      </c>
    </row>
    <row r="278">
      <c r="E278" s="136" t="s">
        <v>253</v>
      </c>
      <c r="F278" s="153">
        <v>1.5</v>
      </c>
      <c r="G278" s="153">
        <v>400.0</v>
      </c>
      <c r="H278" s="152">
        <f t="shared" si="5"/>
        <v>600</v>
      </c>
      <c r="I278" s="154">
        <v>44887.0</v>
      </c>
    </row>
    <row r="279">
      <c r="E279" s="136" t="s">
        <v>254</v>
      </c>
      <c r="F279" s="153">
        <v>3.0</v>
      </c>
      <c r="G279" s="153">
        <v>150.0</v>
      </c>
      <c r="H279" s="152">
        <f t="shared" si="5"/>
        <v>450</v>
      </c>
      <c r="I279" s="154">
        <v>44887.0</v>
      </c>
    </row>
    <row r="280">
      <c r="E280" s="136" t="s">
        <v>143</v>
      </c>
      <c r="F280" s="153">
        <v>7.0</v>
      </c>
      <c r="G280" s="153">
        <v>150.0</v>
      </c>
      <c r="H280" s="152">
        <f t="shared" si="5"/>
        <v>1050</v>
      </c>
      <c r="I280" s="153" t="s">
        <v>255</v>
      </c>
    </row>
    <row r="281">
      <c r="E281" s="136" t="s">
        <v>177</v>
      </c>
      <c r="F281" s="153">
        <v>2.0</v>
      </c>
      <c r="G281" s="153">
        <v>100.0</v>
      </c>
      <c r="H281" s="152">
        <f t="shared" si="5"/>
        <v>200</v>
      </c>
      <c r="I281" s="153" t="s">
        <v>255</v>
      </c>
    </row>
    <row r="282">
      <c r="E282" s="136" t="s">
        <v>155</v>
      </c>
      <c r="F282" s="153">
        <v>3.0</v>
      </c>
      <c r="G282" s="153">
        <v>200.0</v>
      </c>
      <c r="H282" s="152">
        <f t="shared" si="5"/>
        <v>600</v>
      </c>
      <c r="I282" s="153" t="s">
        <v>255</v>
      </c>
    </row>
    <row r="283">
      <c r="E283" s="136" t="s">
        <v>160</v>
      </c>
      <c r="F283" s="153">
        <v>10.0</v>
      </c>
      <c r="G283" s="153">
        <v>100.0</v>
      </c>
      <c r="H283" s="152">
        <f t="shared" si="5"/>
        <v>1000</v>
      </c>
      <c r="I283" s="153" t="s">
        <v>255</v>
      </c>
    </row>
    <row r="284">
      <c r="E284" s="136" t="s">
        <v>256</v>
      </c>
      <c r="F284" s="153">
        <v>1.0</v>
      </c>
      <c r="G284" s="153">
        <v>250.0</v>
      </c>
      <c r="H284" s="152">
        <f t="shared" si="5"/>
        <v>250</v>
      </c>
      <c r="I284" s="153" t="s">
        <v>255</v>
      </c>
    </row>
    <row r="285">
      <c r="E285" s="136" t="s">
        <v>257</v>
      </c>
      <c r="F285" s="153">
        <v>10.0</v>
      </c>
      <c r="G285" s="153">
        <v>20.0</v>
      </c>
      <c r="H285" s="152">
        <f t="shared" si="5"/>
        <v>200</v>
      </c>
      <c r="I285" s="153" t="s">
        <v>255</v>
      </c>
    </row>
    <row r="286">
      <c r="E286" s="136" t="s">
        <v>258</v>
      </c>
      <c r="F286" s="153">
        <v>1.0</v>
      </c>
      <c r="G286" s="153">
        <v>150.0</v>
      </c>
      <c r="H286" s="152">
        <f t="shared" si="5"/>
        <v>150</v>
      </c>
      <c r="I286" s="153" t="s">
        <v>255</v>
      </c>
    </row>
    <row r="287">
      <c r="E287" s="136" t="s">
        <v>131</v>
      </c>
      <c r="F287" s="153">
        <v>25.0</v>
      </c>
      <c r="G287" s="153">
        <v>100.0</v>
      </c>
      <c r="H287" s="152">
        <f t="shared" si="5"/>
        <v>2500</v>
      </c>
      <c r="I287" s="153" t="s">
        <v>255</v>
      </c>
    </row>
    <row r="288">
      <c r="E288" s="136" t="s">
        <v>259</v>
      </c>
      <c r="F288" s="153">
        <v>6.0</v>
      </c>
      <c r="G288" s="153">
        <v>500.0</v>
      </c>
      <c r="H288" s="152">
        <f t="shared" si="5"/>
        <v>3000</v>
      </c>
      <c r="I288" s="153" t="s">
        <v>255</v>
      </c>
    </row>
    <row r="289">
      <c r="E289" s="136" t="s">
        <v>131</v>
      </c>
      <c r="F289" s="153">
        <v>10.0</v>
      </c>
      <c r="G289" s="153">
        <v>100.0</v>
      </c>
      <c r="H289" s="152">
        <f t="shared" si="5"/>
        <v>1000</v>
      </c>
      <c r="I289" s="154">
        <v>44890.0</v>
      </c>
    </row>
    <row r="290">
      <c r="E290" s="136" t="s">
        <v>196</v>
      </c>
      <c r="F290" s="153">
        <v>1.0</v>
      </c>
      <c r="G290" s="153">
        <v>400.0</v>
      </c>
      <c r="H290" s="152">
        <f t="shared" si="5"/>
        <v>400</v>
      </c>
      <c r="I290" s="154">
        <v>44890.0</v>
      </c>
    </row>
    <row r="291">
      <c r="E291" s="136" t="s">
        <v>156</v>
      </c>
      <c r="F291" s="153">
        <v>1.0</v>
      </c>
      <c r="G291" s="153">
        <v>1700.0</v>
      </c>
      <c r="H291" s="152">
        <f t="shared" si="5"/>
        <v>1700</v>
      </c>
      <c r="I291" s="154">
        <v>44890.0</v>
      </c>
    </row>
    <row r="292">
      <c r="E292" s="136" t="s">
        <v>260</v>
      </c>
      <c r="F292" s="153">
        <v>1.5</v>
      </c>
      <c r="G292" s="153">
        <v>700.0</v>
      </c>
      <c r="H292" s="152">
        <f t="shared" si="5"/>
        <v>1050</v>
      </c>
      <c r="I292" s="154">
        <v>44890.0</v>
      </c>
    </row>
    <row r="293">
      <c r="E293" s="136" t="s">
        <v>180</v>
      </c>
      <c r="F293" s="153">
        <v>3.0</v>
      </c>
      <c r="G293" s="153">
        <v>250.0</v>
      </c>
      <c r="H293" s="152">
        <f t="shared" si="5"/>
        <v>750</v>
      </c>
      <c r="I293" s="154">
        <v>44890.0</v>
      </c>
    </row>
    <row r="294">
      <c r="E294" s="136" t="s">
        <v>178</v>
      </c>
      <c r="F294" s="153">
        <v>2.0</v>
      </c>
      <c r="G294" s="153">
        <v>100.0</v>
      </c>
      <c r="H294" s="152">
        <f t="shared" si="5"/>
        <v>200</v>
      </c>
      <c r="I294" s="154">
        <v>44890.0</v>
      </c>
    </row>
    <row r="295">
      <c r="E295" s="136" t="s">
        <v>261</v>
      </c>
      <c r="F295" s="153">
        <v>3.0</v>
      </c>
      <c r="G295" s="153">
        <v>100.0</v>
      </c>
      <c r="H295" s="152">
        <f t="shared" si="5"/>
        <v>300</v>
      </c>
      <c r="I295" s="154">
        <v>44890.0</v>
      </c>
    </row>
    <row r="296">
      <c r="E296" s="136" t="s">
        <v>157</v>
      </c>
      <c r="F296" s="153">
        <v>4.0</v>
      </c>
      <c r="G296" s="153">
        <v>110.0</v>
      </c>
      <c r="H296" s="152">
        <f t="shared" si="5"/>
        <v>440</v>
      </c>
      <c r="I296" s="154">
        <v>44890.0</v>
      </c>
    </row>
    <row r="297">
      <c r="E297" s="136" t="s">
        <v>262</v>
      </c>
      <c r="F297" s="155"/>
      <c r="G297" s="153">
        <v>1200.0</v>
      </c>
      <c r="H297" s="152">
        <f t="shared" si="5"/>
        <v>0</v>
      </c>
      <c r="I297" s="154">
        <v>44890.0</v>
      </c>
    </row>
    <row r="298">
      <c r="E298" s="136" t="s">
        <v>263</v>
      </c>
      <c r="F298" s="153">
        <v>1.0</v>
      </c>
      <c r="G298" s="153">
        <v>150.0</v>
      </c>
      <c r="H298" s="152">
        <f t="shared" si="5"/>
        <v>150</v>
      </c>
      <c r="I298" s="154">
        <v>44890.0</v>
      </c>
    </row>
    <row r="299">
      <c r="E299" s="136" t="s">
        <v>168</v>
      </c>
      <c r="F299" s="153">
        <v>5.0</v>
      </c>
      <c r="G299" s="153">
        <v>450.0</v>
      </c>
      <c r="H299" s="152">
        <f t="shared" si="5"/>
        <v>2250</v>
      </c>
      <c r="I299" s="154">
        <v>44891.0</v>
      </c>
    </row>
    <row r="300">
      <c r="E300" s="136" t="s">
        <v>156</v>
      </c>
      <c r="F300" s="153">
        <v>1.0</v>
      </c>
      <c r="G300" s="153">
        <v>1000.0</v>
      </c>
      <c r="H300" s="152">
        <f t="shared" si="5"/>
        <v>1000</v>
      </c>
      <c r="I300" s="154">
        <v>44891.0</v>
      </c>
    </row>
    <row r="301">
      <c r="E301" s="136" t="s">
        <v>157</v>
      </c>
      <c r="F301" s="153">
        <v>5.0</v>
      </c>
      <c r="G301" s="153">
        <v>200.0</v>
      </c>
      <c r="H301" s="152">
        <f t="shared" si="5"/>
        <v>1000</v>
      </c>
      <c r="I301" s="154">
        <v>44891.0</v>
      </c>
    </row>
    <row r="302">
      <c r="E302" s="136" t="s">
        <v>75</v>
      </c>
      <c r="F302" s="153">
        <v>1.0</v>
      </c>
      <c r="G302" s="153">
        <v>60.0</v>
      </c>
      <c r="H302" s="152">
        <f t="shared" si="5"/>
        <v>60</v>
      </c>
      <c r="I302" s="154">
        <v>44891.0</v>
      </c>
    </row>
    <row r="303">
      <c r="E303" s="136" t="s">
        <v>155</v>
      </c>
      <c r="F303" s="153">
        <v>3.0</v>
      </c>
      <c r="G303" s="153">
        <v>200.0</v>
      </c>
      <c r="H303" s="152">
        <f t="shared" si="5"/>
        <v>600</v>
      </c>
      <c r="I303" s="154">
        <v>44891.0</v>
      </c>
    </row>
    <row r="304">
      <c r="E304" s="136" t="s">
        <v>133</v>
      </c>
      <c r="F304" s="153">
        <v>15.0</v>
      </c>
      <c r="G304" s="153">
        <v>100.0</v>
      </c>
      <c r="H304" s="152">
        <f t="shared" si="5"/>
        <v>1500</v>
      </c>
      <c r="I304" s="154">
        <v>44891.0</v>
      </c>
    </row>
    <row r="305">
      <c r="E305" s="136" t="s">
        <v>160</v>
      </c>
      <c r="F305" s="153">
        <v>3.0</v>
      </c>
      <c r="G305" s="153">
        <v>100.0</v>
      </c>
      <c r="H305" s="152">
        <f t="shared" si="5"/>
        <v>300</v>
      </c>
      <c r="I305" s="154">
        <v>44891.0</v>
      </c>
    </row>
    <row r="306">
      <c r="E306" s="136" t="s">
        <v>264</v>
      </c>
      <c r="F306" s="153">
        <v>2.0</v>
      </c>
      <c r="G306" s="153">
        <v>200.0</v>
      </c>
      <c r="H306" s="152">
        <f t="shared" si="5"/>
        <v>400</v>
      </c>
      <c r="I306" s="154">
        <v>44891.0</v>
      </c>
    </row>
    <row r="307">
      <c r="E307" s="136" t="s">
        <v>143</v>
      </c>
      <c r="F307" s="153">
        <v>7.0</v>
      </c>
      <c r="G307" s="153">
        <v>150.0</v>
      </c>
      <c r="H307" s="152">
        <f t="shared" si="5"/>
        <v>1050</v>
      </c>
      <c r="I307" s="154">
        <v>44891.0</v>
      </c>
    </row>
    <row r="308">
      <c r="E308" s="136" t="s">
        <v>265</v>
      </c>
      <c r="F308" s="153">
        <v>1.0</v>
      </c>
      <c r="G308" s="153">
        <v>1000.0</v>
      </c>
      <c r="H308" s="152">
        <f t="shared" si="5"/>
        <v>1000</v>
      </c>
      <c r="I308" s="154">
        <v>44891.0</v>
      </c>
    </row>
    <row r="309">
      <c r="E309" s="136" t="s">
        <v>166</v>
      </c>
      <c r="F309" s="153">
        <v>400.0</v>
      </c>
      <c r="G309" s="153">
        <v>50.0</v>
      </c>
      <c r="H309" s="152">
        <f t="shared" si="5"/>
        <v>20000</v>
      </c>
      <c r="I309" s="153" t="s">
        <v>266</v>
      </c>
    </row>
    <row r="310">
      <c r="E310" s="156"/>
      <c r="F310" s="155"/>
      <c r="G310" s="155"/>
      <c r="H310" s="157"/>
      <c r="I310" s="155"/>
    </row>
    <row r="311">
      <c r="E311" s="158"/>
      <c r="F311" s="41"/>
      <c r="G311" s="41"/>
      <c r="H311" s="159">
        <f>SUM(H3:H310)</f>
        <v>717114</v>
      </c>
      <c r="I311" s="4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1.88"/>
    <col customWidth="1" min="9" max="9" width="29.13"/>
    <col customWidth="1" min="10" max="10" width="34.63"/>
    <col customWidth="1" min="11" max="11" width="33.38"/>
  </cols>
  <sheetData>
    <row r="1">
      <c r="A1" s="145">
        <v>4.0</v>
      </c>
    </row>
    <row r="10">
      <c r="G10" s="160"/>
      <c r="H10" s="161" t="s">
        <v>267</v>
      </c>
      <c r="I10" s="161" t="s">
        <v>4</v>
      </c>
      <c r="J10" s="161" t="s">
        <v>268</v>
      </c>
      <c r="K10" s="162" t="s">
        <v>269</v>
      </c>
    </row>
    <row r="11">
      <c r="G11" s="163">
        <v>1.0</v>
      </c>
      <c r="H11" s="41" t="s">
        <v>270</v>
      </c>
      <c r="I11" s="13">
        <v>30000.0</v>
      </c>
      <c r="J11" s="13">
        <v>30000.0</v>
      </c>
      <c r="K11" s="50">
        <f t="shared" ref="K11:K26" si="1">I11-J11</f>
        <v>0</v>
      </c>
      <c r="L11" s="145" t="s">
        <v>271</v>
      </c>
    </row>
    <row r="12">
      <c r="G12" s="163">
        <v>2.0</v>
      </c>
      <c r="H12" s="41" t="s">
        <v>272</v>
      </c>
      <c r="I12" s="13">
        <v>30000.0</v>
      </c>
      <c r="J12" s="13">
        <v>30000.0</v>
      </c>
      <c r="K12" s="50">
        <f t="shared" si="1"/>
        <v>0</v>
      </c>
    </row>
    <row r="13">
      <c r="G13" s="163">
        <v>3.0</v>
      </c>
      <c r="H13" s="41" t="s">
        <v>273</v>
      </c>
      <c r="I13" s="50">
        <f>Pointage!C34*1</f>
        <v>4800</v>
      </c>
      <c r="J13" s="13">
        <v>4800.0</v>
      </c>
      <c r="K13" s="50">
        <f t="shared" si="1"/>
        <v>0</v>
      </c>
      <c r="L13" s="145" t="s">
        <v>274</v>
      </c>
    </row>
    <row r="14">
      <c r="G14" s="163">
        <v>4.0</v>
      </c>
      <c r="H14" s="41" t="s">
        <v>46</v>
      </c>
      <c r="I14" s="50">
        <f>Pointage!D34*1</f>
        <v>23331</v>
      </c>
      <c r="J14" s="50"/>
      <c r="K14" s="50">
        <f t="shared" si="1"/>
        <v>23331</v>
      </c>
    </row>
    <row r="15">
      <c r="G15" s="163">
        <v>5.0</v>
      </c>
      <c r="H15" s="41" t="s">
        <v>47</v>
      </c>
      <c r="I15" s="50">
        <f>Pointage!E34*1</f>
        <v>28330.5</v>
      </c>
      <c r="J15" s="50"/>
      <c r="K15" s="50">
        <f t="shared" si="1"/>
        <v>28330.5</v>
      </c>
    </row>
    <row r="16">
      <c r="G16" s="163">
        <v>6.0</v>
      </c>
      <c r="H16" s="164" t="s">
        <v>275</v>
      </c>
      <c r="I16" s="50">
        <f>Pointage!F34*1</f>
        <v>20000</v>
      </c>
      <c r="J16" s="13">
        <v>16000.0</v>
      </c>
      <c r="K16" s="50">
        <f t="shared" si="1"/>
        <v>4000</v>
      </c>
    </row>
    <row r="17">
      <c r="G17" s="163">
        <v>7.0</v>
      </c>
      <c r="H17" s="41" t="s">
        <v>276</v>
      </c>
      <c r="I17" s="50">
        <f>Pointage!G34*1</f>
        <v>17776</v>
      </c>
      <c r="J17" s="50"/>
      <c r="K17" s="50">
        <f t="shared" si="1"/>
        <v>17776</v>
      </c>
    </row>
    <row r="18">
      <c r="G18" s="163">
        <v>8.0</v>
      </c>
      <c r="H18" s="41" t="s">
        <v>277</v>
      </c>
      <c r="I18" s="50">
        <f>Pointage!H34*1</f>
        <v>31050</v>
      </c>
      <c r="J18" s="13">
        <v>3000.0</v>
      </c>
      <c r="K18" s="50">
        <f t="shared" si="1"/>
        <v>28050</v>
      </c>
    </row>
    <row r="19">
      <c r="G19" s="163">
        <v>9.0</v>
      </c>
      <c r="H19" s="41" t="s">
        <v>278</v>
      </c>
      <c r="I19" s="50">
        <f>Pointage!I34*1</f>
        <v>28886</v>
      </c>
      <c r="J19" s="13">
        <v>5000.0</v>
      </c>
      <c r="K19" s="50">
        <f t="shared" si="1"/>
        <v>23886</v>
      </c>
      <c r="L19" s="145" t="s">
        <v>279</v>
      </c>
    </row>
    <row r="20">
      <c r="G20" s="163">
        <v>10.0</v>
      </c>
      <c r="H20" s="41" t="s">
        <v>280</v>
      </c>
      <c r="I20" s="50">
        <f>Pointage!J34*1</f>
        <v>28330.5</v>
      </c>
      <c r="J20" s="50"/>
      <c r="K20" s="50">
        <f t="shared" si="1"/>
        <v>28330.5</v>
      </c>
    </row>
    <row r="21">
      <c r="G21" s="163">
        <v>11.0</v>
      </c>
      <c r="H21" s="41" t="s">
        <v>281</v>
      </c>
      <c r="I21" s="50">
        <f>Pointage!N34*1</f>
        <v>16800</v>
      </c>
      <c r="J21" s="50"/>
      <c r="K21" s="50">
        <f t="shared" si="1"/>
        <v>16800</v>
      </c>
    </row>
    <row r="22">
      <c r="G22" s="163">
        <v>12.0</v>
      </c>
      <c r="H22" s="41" t="s">
        <v>282</v>
      </c>
      <c r="I22" s="50">
        <f>Pointage!M34*1</f>
        <v>25000</v>
      </c>
      <c r="J22" s="13">
        <v>2000.0</v>
      </c>
      <c r="K22" s="50">
        <f t="shared" si="1"/>
        <v>23000</v>
      </c>
    </row>
    <row r="23">
      <c r="G23" s="163">
        <v>13.0</v>
      </c>
      <c r="H23" s="41" t="s">
        <v>283</v>
      </c>
      <c r="I23" s="50">
        <f>Pointage!L34*1</f>
        <v>20400</v>
      </c>
      <c r="J23" s="50"/>
      <c r="K23" s="50">
        <f t="shared" si="1"/>
        <v>20400</v>
      </c>
    </row>
    <row r="24">
      <c r="G24" s="165">
        <v>14.0</v>
      </c>
      <c r="H24" s="164" t="s">
        <v>53</v>
      </c>
      <c r="I24" s="50">
        <f>Pointage!K34*1</f>
        <v>13500</v>
      </c>
      <c r="J24" s="50"/>
      <c r="K24" s="50">
        <f t="shared" si="1"/>
        <v>13500</v>
      </c>
    </row>
    <row r="25">
      <c r="G25" s="165">
        <v>15.0</v>
      </c>
      <c r="H25" s="41" t="s">
        <v>57</v>
      </c>
      <c r="I25" s="50">
        <f>Pointage!O34*1</f>
        <v>20000</v>
      </c>
      <c r="J25" s="50"/>
      <c r="K25" s="50">
        <f t="shared" si="1"/>
        <v>20000</v>
      </c>
    </row>
    <row r="26">
      <c r="G26" s="165">
        <v>16.0</v>
      </c>
      <c r="H26" s="41" t="s">
        <v>58</v>
      </c>
      <c r="I26" s="50">
        <f>Pointage!P34*1</f>
        <v>0</v>
      </c>
      <c r="J26" s="50"/>
      <c r="K26" s="50">
        <f t="shared" si="1"/>
        <v>0</v>
      </c>
    </row>
    <row r="27">
      <c r="G27" s="56"/>
      <c r="H27" s="166" t="s">
        <v>284</v>
      </c>
      <c r="I27" s="31">
        <f t="shared" ref="I27:K27" si="2">SUM(I11:I26)</f>
        <v>338204</v>
      </c>
      <c r="J27" s="167">
        <f t="shared" si="2"/>
        <v>90800</v>
      </c>
      <c r="K27" s="36">
        <f t="shared" si="2"/>
        <v>247404</v>
      </c>
    </row>
    <row r="28">
      <c r="G28" s="56"/>
      <c r="H28" s="18">
        <f>I27-J27</f>
        <v>247404</v>
      </c>
      <c r="I28" s="1"/>
      <c r="J28" s="1"/>
      <c r="K28" s="168">
        <f>I28-J28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13"/>
    <col customWidth="1" min="9" max="10" width="25.38"/>
    <col customWidth="1" min="11" max="13" width="25.88"/>
  </cols>
  <sheetData>
    <row r="12">
      <c r="H12" s="160"/>
      <c r="I12" s="169" t="s">
        <v>285</v>
      </c>
      <c r="J12" s="169" t="s">
        <v>286</v>
      </c>
      <c r="K12" s="169" t="s">
        <v>287</v>
      </c>
      <c r="L12" s="169" t="s">
        <v>40</v>
      </c>
      <c r="M12" s="170" t="s">
        <v>288</v>
      </c>
    </row>
    <row r="13">
      <c r="H13" s="171" t="s">
        <v>2</v>
      </c>
      <c r="I13" s="31">
        <v>2230000.0</v>
      </c>
      <c r="J13" s="31">
        <v>1332000.0</v>
      </c>
      <c r="K13" s="31">
        <v>1657000.0</v>
      </c>
      <c r="L13" s="31">
        <v>1921000.0</v>
      </c>
      <c r="M13" s="172">
        <f>RECAP!D32*1</f>
        <v>1706000</v>
      </c>
    </row>
    <row r="14">
      <c r="H14" s="171" t="s">
        <v>3</v>
      </c>
      <c r="I14" s="31">
        <v>990000.0</v>
      </c>
      <c r="J14" s="31">
        <v>594000.0</v>
      </c>
      <c r="K14" s="31">
        <v>702000.0</v>
      </c>
      <c r="L14" s="31">
        <v>901000.0</v>
      </c>
      <c r="M14" s="172">
        <f>RECAP!E32*1</f>
        <v>717114</v>
      </c>
    </row>
    <row r="15">
      <c r="H15" s="171" t="s">
        <v>289</v>
      </c>
      <c r="I15" s="31">
        <v>330000.0</v>
      </c>
      <c r="J15" s="31">
        <v>188000.0</v>
      </c>
      <c r="K15" s="31">
        <v>305000.0</v>
      </c>
      <c r="L15" s="31">
        <v>369000.0</v>
      </c>
      <c r="M15" s="172">
        <f>RECAP!F32*1</f>
        <v>338204</v>
      </c>
    </row>
    <row r="16">
      <c r="H16" s="171" t="s">
        <v>5</v>
      </c>
      <c r="I16" s="31">
        <v>110000.0</v>
      </c>
      <c r="J16" s="31">
        <v>110000.0</v>
      </c>
      <c r="K16" s="31">
        <v>110000.0</v>
      </c>
      <c r="L16" s="31">
        <v>110000.0</v>
      </c>
      <c r="M16" s="172">
        <f>RECAP!G32*1</f>
        <v>110000</v>
      </c>
    </row>
    <row r="17">
      <c r="H17" s="171" t="s">
        <v>290</v>
      </c>
      <c r="I17" s="31">
        <v>800000.0</v>
      </c>
      <c r="J17" s="31">
        <v>440000.0</v>
      </c>
      <c r="K17" s="31">
        <v>540000.0</v>
      </c>
      <c r="L17" s="31">
        <v>540000.0</v>
      </c>
      <c r="M17" s="172">
        <f>RECAP!H32*1</f>
        <v>540682</v>
      </c>
    </row>
    <row r="24">
      <c r="I24" s="173" t="s">
        <v>291</v>
      </c>
      <c r="J24" s="174" t="s">
        <v>292</v>
      </c>
      <c r="K24" s="174" t="s">
        <v>293</v>
      </c>
      <c r="L24" s="174" t="s">
        <v>294</v>
      </c>
      <c r="M24" s="174" t="s">
        <v>295</v>
      </c>
      <c r="N24" s="174" t="s">
        <v>296</v>
      </c>
    </row>
    <row r="25">
      <c r="I25" s="175" t="s">
        <v>297</v>
      </c>
      <c r="J25" s="176" t="s">
        <v>298</v>
      </c>
      <c r="K25" s="176">
        <v>42.37</v>
      </c>
      <c r="L25" s="176">
        <v>18.39</v>
      </c>
      <c r="M25" s="176">
        <v>6.64</v>
      </c>
      <c r="N25" s="176">
        <v>32.6</v>
      </c>
    </row>
    <row r="26">
      <c r="I26" s="175" t="s">
        <v>44</v>
      </c>
      <c r="J26" s="177" t="s">
        <v>299</v>
      </c>
      <c r="K26" s="177">
        <v>46.9</v>
      </c>
      <c r="L26" s="177">
        <v>19.21</v>
      </c>
      <c r="M26" s="177">
        <v>5.73</v>
      </c>
      <c r="N26" s="177">
        <v>28.11</v>
      </c>
    </row>
    <row r="27">
      <c r="I27" s="175" t="s">
        <v>42</v>
      </c>
      <c r="J27" s="177" t="s">
        <v>300</v>
      </c>
      <c r="K27" s="177">
        <v>42.03</v>
      </c>
      <c r="L27" s="177">
        <v>19.82</v>
      </c>
      <c r="M27" s="177">
        <v>6.45</v>
      </c>
      <c r="N27" s="177">
        <v>31.69</v>
      </c>
    </row>
    <row r="28">
      <c r="I28" s="56"/>
      <c r="J28" s="1"/>
      <c r="K28" s="1"/>
      <c r="L28" s="1"/>
      <c r="M28" s="1"/>
      <c r="N28" s="1"/>
    </row>
    <row r="29">
      <c r="I29" s="178" t="s">
        <v>43</v>
      </c>
      <c r="J29" s="179" t="s">
        <v>301</v>
      </c>
      <c r="K29" s="179">
        <v>34.48</v>
      </c>
      <c r="L29" s="179">
        <v>15.27</v>
      </c>
      <c r="M29" s="179">
        <v>5.42</v>
      </c>
      <c r="N29" s="179">
        <v>44.83</v>
      </c>
    </row>
  </sheetData>
  <drawing r:id="rId1"/>
</worksheet>
</file>